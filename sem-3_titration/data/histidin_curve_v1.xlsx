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openSUSE-Tumbleweed\home\timerertim\areas\studies\bioinf\courses\bio\protocols\sem-3_titration\data\"/>
    </mc:Choice>
  </mc:AlternateContent>
  <xr:revisionPtr revIDLastSave="0" documentId="13_ncr:9_{78A060EB-3157-42C3-A523-806F919BCF0B}" xr6:coauthVersionLast="47" xr6:coauthVersionMax="47" xr10:uidLastSave="{00000000-0000-0000-0000-000000000000}"/>
  <bookViews>
    <workbookView xWindow="-103" yWindow="-103" windowWidth="22149" windowHeight="13200" xr2:uid="{B2CFC608-0608-4985-8939-60CE3AB4E504}"/>
  </bookViews>
  <sheets>
    <sheet name="histidin_curve_v1" sheetId="1" r:id="rId1"/>
  </sheets>
  <calcPr calcId="0"/>
</workbook>
</file>

<file path=xl/calcChain.xml><?xml version="1.0" encoding="utf-8"?>
<calcChain xmlns="http://schemas.openxmlformats.org/spreadsheetml/2006/main">
  <c r="A159" i="1" l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B129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7" i="1"/>
  <c r="A55" i="1"/>
</calcChain>
</file>

<file path=xl/sharedStrings.xml><?xml version="1.0" encoding="utf-8"?>
<sst xmlns="http://schemas.openxmlformats.org/spreadsheetml/2006/main" count="2" uniqueCount="2">
  <si>
    <t xml:space="preserve">Maßlösung[ml]	</t>
  </si>
  <si>
    <t>pH-Wert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</si>
</sst>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histidin_curve_v1!$B$1</c:f>
              <c:strCache>
                <c:ptCount val="1"/>
                <c:pt idx="0">
                  <c:v>pH-Wert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histidin_curve_v1!$A$2:$A$300</c:f>
              <c:numCache>
                <c:formatCode>General</c:formatCode>
                <c:ptCount val="299"/>
                <c:pt idx="0">
                  <c:v>0</c:v>
                </c:pt>
                <c:pt idx="1">
                  <c:v>0.4</c:v>
                </c:pt>
                <c:pt idx="2">
                  <c:v>0.7</c:v>
                </c:pt>
                <c:pt idx="3">
                  <c:v>1.2</c:v>
                </c:pt>
                <c:pt idx="4">
                  <c:v>1.9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3.2</c:v>
                </c:pt>
                <c:pt idx="9">
                  <c:v>3.8</c:v>
                </c:pt>
                <c:pt idx="10">
                  <c:v>4.2</c:v>
                </c:pt>
                <c:pt idx="11">
                  <c:v>4.5999999999999996</c:v>
                </c:pt>
                <c:pt idx="12">
                  <c:v>5</c:v>
                </c:pt>
                <c:pt idx="13">
                  <c:v>5.4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14.5</c:v>
                </c:pt>
                <c:pt idx="24">
                  <c:v>14.6</c:v>
                </c:pt>
                <c:pt idx="25">
                  <c:v>14.7</c:v>
                </c:pt>
                <c:pt idx="26">
                  <c:v>14.8</c:v>
                </c:pt>
                <c:pt idx="27">
                  <c:v>14.9</c:v>
                </c:pt>
                <c:pt idx="28">
                  <c:v>15</c:v>
                </c:pt>
                <c:pt idx="29">
                  <c:v>15.1</c:v>
                </c:pt>
                <c:pt idx="30">
                  <c:v>15.2</c:v>
                </c:pt>
                <c:pt idx="31">
                  <c:v>15.4</c:v>
                </c:pt>
                <c:pt idx="32">
                  <c:v>15.6</c:v>
                </c:pt>
                <c:pt idx="33">
                  <c:v>15.9</c:v>
                </c:pt>
                <c:pt idx="34">
                  <c:v>16.2</c:v>
                </c:pt>
                <c:pt idx="35">
                  <c:v>16.5</c:v>
                </c:pt>
                <c:pt idx="36">
                  <c:v>16.8</c:v>
                </c:pt>
                <c:pt idx="37">
                  <c:v>17.2</c:v>
                </c:pt>
                <c:pt idx="38">
                  <c:v>17.7</c:v>
                </c:pt>
                <c:pt idx="39">
                  <c:v>18.2</c:v>
                </c:pt>
                <c:pt idx="40">
                  <c:v>18.7</c:v>
                </c:pt>
                <c:pt idx="41">
                  <c:v>19.3</c:v>
                </c:pt>
                <c:pt idx="42">
                  <c:v>19.7</c:v>
                </c:pt>
                <c:pt idx="43">
                  <c:v>20.2</c:v>
                </c:pt>
                <c:pt idx="44">
                  <c:v>20.7</c:v>
                </c:pt>
                <c:pt idx="45">
                  <c:v>21.2</c:v>
                </c:pt>
                <c:pt idx="46">
                  <c:v>21.7</c:v>
                </c:pt>
                <c:pt idx="47">
                  <c:v>22.2</c:v>
                </c:pt>
                <c:pt idx="48">
                  <c:v>22.7</c:v>
                </c:pt>
                <c:pt idx="49">
                  <c:v>23.2</c:v>
                </c:pt>
                <c:pt idx="50">
                  <c:v>23.5</c:v>
                </c:pt>
                <c:pt idx="51">
                  <c:v>23.8</c:v>
                </c:pt>
                <c:pt idx="52">
                  <c:v>24.2</c:v>
                </c:pt>
                <c:pt idx="53">
                  <c:v>24.4</c:v>
                </c:pt>
                <c:pt idx="54">
                  <c:v>24.6</c:v>
                </c:pt>
                <c:pt idx="55">
                  <c:v>24.8</c:v>
                </c:pt>
                <c:pt idx="56">
                  <c:v>25</c:v>
                </c:pt>
                <c:pt idx="57">
                  <c:v>25.2</c:v>
                </c:pt>
                <c:pt idx="58">
                  <c:v>25.5</c:v>
                </c:pt>
                <c:pt idx="59">
                  <c:v>25.8</c:v>
                </c:pt>
                <c:pt idx="60">
                  <c:v>26.099999999999998</c:v>
                </c:pt>
                <c:pt idx="61">
                  <c:v>26.4</c:v>
                </c:pt>
                <c:pt idx="62">
                  <c:v>26.7</c:v>
                </c:pt>
                <c:pt idx="63">
                  <c:v>26.9</c:v>
                </c:pt>
                <c:pt idx="64">
                  <c:v>27.099999999999998</c:v>
                </c:pt>
                <c:pt idx="65">
                  <c:v>27.2</c:v>
                </c:pt>
                <c:pt idx="66">
                  <c:v>27.3</c:v>
                </c:pt>
                <c:pt idx="67">
                  <c:v>27.4</c:v>
                </c:pt>
                <c:pt idx="68">
                  <c:v>27.5</c:v>
                </c:pt>
                <c:pt idx="69">
                  <c:v>27.599999999999998</c:v>
                </c:pt>
                <c:pt idx="70">
                  <c:v>27.7</c:v>
                </c:pt>
                <c:pt idx="71">
                  <c:v>27.9</c:v>
                </c:pt>
                <c:pt idx="72">
                  <c:v>28</c:v>
                </c:pt>
                <c:pt idx="73">
                  <c:v>28.099999999999998</c:v>
                </c:pt>
                <c:pt idx="74">
                  <c:v>28.2</c:v>
                </c:pt>
                <c:pt idx="75">
                  <c:v>28.299999999999997</c:v>
                </c:pt>
                <c:pt idx="76">
                  <c:v>28.4</c:v>
                </c:pt>
                <c:pt idx="77">
                  <c:v>28.5</c:v>
                </c:pt>
                <c:pt idx="78">
                  <c:v>28.6</c:v>
                </c:pt>
                <c:pt idx="79">
                  <c:v>28.7</c:v>
                </c:pt>
                <c:pt idx="80">
                  <c:v>28.799999999999997</c:v>
                </c:pt>
                <c:pt idx="81">
                  <c:v>28.9</c:v>
                </c:pt>
                <c:pt idx="82">
                  <c:v>29</c:v>
                </c:pt>
                <c:pt idx="83">
                  <c:v>29.1</c:v>
                </c:pt>
                <c:pt idx="84">
                  <c:v>29.2</c:v>
                </c:pt>
                <c:pt idx="85">
                  <c:v>29.299999999999997</c:v>
                </c:pt>
                <c:pt idx="86">
                  <c:v>29.4</c:v>
                </c:pt>
                <c:pt idx="87">
                  <c:v>29.5</c:v>
                </c:pt>
                <c:pt idx="88">
                  <c:v>29.6</c:v>
                </c:pt>
                <c:pt idx="89">
                  <c:v>29.7</c:v>
                </c:pt>
                <c:pt idx="90">
                  <c:v>29.799999999999997</c:v>
                </c:pt>
                <c:pt idx="91">
                  <c:v>29.9</c:v>
                </c:pt>
                <c:pt idx="92">
                  <c:v>30</c:v>
                </c:pt>
                <c:pt idx="93">
                  <c:v>30.1</c:v>
                </c:pt>
                <c:pt idx="94">
                  <c:v>30.2</c:v>
                </c:pt>
                <c:pt idx="95">
                  <c:v>30.3</c:v>
                </c:pt>
                <c:pt idx="96">
                  <c:v>30.4</c:v>
                </c:pt>
                <c:pt idx="97">
                  <c:v>30.5</c:v>
                </c:pt>
                <c:pt idx="98">
                  <c:v>30.6</c:v>
                </c:pt>
                <c:pt idx="99">
                  <c:v>30.7</c:v>
                </c:pt>
                <c:pt idx="100">
                  <c:v>30.799999999999997</c:v>
                </c:pt>
                <c:pt idx="101">
                  <c:v>30.9</c:v>
                </c:pt>
                <c:pt idx="102">
                  <c:v>31</c:v>
                </c:pt>
                <c:pt idx="103">
                  <c:v>31.1</c:v>
                </c:pt>
                <c:pt idx="104">
                  <c:v>31.2</c:v>
                </c:pt>
                <c:pt idx="105">
                  <c:v>31.3</c:v>
                </c:pt>
                <c:pt idx="106">
                  <c:v>31.4</c:v>
                </c:pt>
                <c:pt idx="107">
                  <c:v>31.5</c:v>
                </c:pt>
                <c:pt idx="108">
                  <c:v>31.65</c:v>
                </c:pt>
                <c:pt idx="109">
                  <c:v>31.799999999999997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32.200000000000003</c:v>
                </c:pt>
                <c:pt idx="114">
                  <c:v>32.299999999999997</c:v>
                </c:pt>
                <c:pt idx="115">
                  <c:v>32.4</c:v>
                </c:pt>
                <c:pt idx="116">
                  <c:v>32.5</c:v>
                </c:pt>
                <c:pt idx="117">
                  <c:v>32.6</c:v>
                </c:pt>
                <c:pt idx="118">
                  <c:v>32.700000000000003</c:v>
                </c:pt>
                <c:pt idx="119">
                  <c:v>32.799999999999997</c:v>
                </c:pt>
                <c:pt idx="120">
                  <c:v>32.9</c:v>
                </c:pt>
                <c:pt idx="121">
                  <c:v>33</c:v>
                </c:pt>
                <c:pt idx="122">
                  <c:v>33.15</c:v>
                </c:pt>
                <c:pt idx="123">
                  <c:v>33.299999999999997</c:v>
                </c:pt>
                <c:pt idx="124">
                  <c:v>33.5</c:v>
                </c:pt>
                <c:pt idx="125">
                  <c:v>33.700000000000003</c:v>
                </c:pt>
                <c:pt idx="126">
                  <c:v>34</c:v>
                </c:pt>
                <c:pt idx="127">
                  <c:v>34.299999999999997</c:v>
                </c:pt>
                <c:pt idx="128">
                  <c:v>34.700000000000003</c:v>
                </c:pt>
                <c:pt idx="129">
                  <c:v>35.200000000000003</c:v>
                </c:pt>
                <c:pt idx="130">
                  <c:v>35.700000000000003</c:v>
                </c:pt>
                <c:pt idx="131">
                  <c:v>36.200000000000003</c:v>
                </c:pt>
                <c:pt idx="132">
                  <c:v>36.700000000000003</c:v>
                </c:pt>
                <c:pt idx="133">
                  <c:v>37.200000000000003</c:v>
                </c:pt>
                <c:pt idx="134">
                  <c:v>37.700000000000003</c:v>
                </c:pt>
                <c:pt idx="135">
                  <c:v>38.200000000000003</c:v>
                </c:pt>
                <c:pt idx="136">
                  <c:v>38.700000000000003</c:v>
                </c:pt>
                <c:pt idx="137">
                  <c:v>39.200000000000003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40.700000000000003</c:v>
                </c:pt>
                <c:pt idx="141">
                  <c:v>41.2</c:v>
                </c:pt>
                <c:pt idx="142">
                  <c:v>41.7</c:v>
                </c:pt>
                <c:pt idx="143">
                  <c:v>42.2</c:v>
                </c:pt>
                <c:pt idx="144">
                  <c:v>42.7</c:v>
                </c:pt>
                <c:pt idx="145">
                  <c:v>43.2</c:v>
                </c:pt>
                <c:pt idx="146">
                  <c:v>43.7</c:v>
                </c:pt>
                <c:pt idx="147">
                  <c:v>44.2</c:v>
                </c:pt>
                <c:pt idx="148">
                  <c:v>44.7</c:v>
                </c:pt>
                <c:pt idx="149">
                  <c:v>45.2</c:v>
                </c:pt>
                <c:pt idx="150">
                  <c:v>45.7</c:v>
                </c:pt>
                <c:pt idx="151">
                  <c:v>46.2</c:v>
                </c:pt>
                <c:pt idx="152">
                  <c:v>46.7</c:v>
                </c:pt>
                <c:pt idx="153">
                  <c:v>47.2</c:v>
                </c:pt>
                <c:pt idx="154">
                  <c:v>47.7</c:v>
                </c:pt>
                <c:pt idx="155">
                  <c:v>48.2</c:v>
                </c:pt>
                <c:pt idx="156">
                  <c:v>48.7</c:v>
                </c:pt>
                <c:pt idx="157">
                  <c:v>49.2</c:v>
                </c:pt>
              </c:numCache>
            </c:numRef>
          </c:xVal>
          <c:yVal>
            <c:numRef>
              <c:f>histidin_curve_v1!$B$2:$B$300</c:f>
              <c:numCache>
                <c:formatCode>General</c:formatCode>
                <c:ptCount val="299"/>
                <c:pt idx="0">
                  <c:v>1.69</c:v>
                </c:pt>
                <c:pt idx="1">
                  <c:v>1.68</c:v>
                </c:pt>
                <c:pt idx="2">
                  <c:v>1.69</c:v>
                </c:pt>
                <c:pt idx="3">
                  <c:v>1.71</c:v>
                </c:pt>
                <c:pt idx="4">
                  <c:v>1.74</c:v>
                </c:pt>
                <c:pt idx="5">
                  <c:v>1.76</c:v>
                </c:pt>
                <c:pt idx="6">
                  <c:v>1.78</c:v>
                </c:pt>
                <c:pt idx="7">
                  <c:v>1.8</c:v>
                </c:pt>
                <c:pt idx="8">
                  <c:v>1.81</c:v>
                </c:pt>
                <c:pt idx="9">
                  <c:v>1.85</c:v>
                </c:pt>
                <c:pt idx="10">
                  <c:v>1.88</c:v>
                </c:pt>
                <c:pt idx="11">
                  <c:v>1.91</c:v>
                </c:pt>
                <c:pt idx="12">
                  <c:v>1.94</c:v>
                </c:pt>
                <c:pt idx="13">
                  <c:v>2</c:v>
                </c:pt>
                <c:pt idx="14">
                  <c:v>2.04</c:v>
                </c:pt>
                <c:pt idx="15">
                  <c:v>2.12</c:v>
                </c:pt>
                <c:pt idx="16">
                  <c:v>2.16</c:v>
                </c:pt>
                <c:pt idx="17">
                  <c:v>2.2799999999999998</c:v>
                </c:pt>
                <c:pt idx="18">
                  <c:v>2.48</c:v>
                </c:pt>
                <c:pt idx="19">
                  <c:v>2.65</c:v>
                </c:pt>
                <c:pt idx="20">
                  <c:v>2.82</c:v>
                </c:pt>
                <c:pt idx="21">
                  <c:v>3.04</c:v>
                </c:pt>
                <c:pt idx="22">
                  <c:v>3.56</c:v>
                </c:pt>
                <c:pt idx="23">
                  <c:v>4.2300000000000004</c:v>
                </c:pt>
                <c:pt idx="24">
                  <c:v>4.3600000000000003</c:v>
                </c:pt>
                <c:pt idx="25">
                  <c:v>4.53</c:v>
                </c:pt>
                <c:pt idx="26">
                  <c:v>4.63</c:v>
                </c:pt>
                <c:pt idx="27">
                  <c:v>4.71</c:v>
                </c:pt>
                <c:pt idx="28">
                  <c:v>4.8099999999999996</c:v>
                </c:pt>
                <c:pt idx="29">
                  <c:v>4.9000000000000004</c:v>
                </c:pt>
                <c:pt idx="30">
                  <c:v>4.95</c:v>
                </c:pt>
                <c:pt idx="31">
                  <c:v>5.03</c:v>
                </c:pt>
                <c:pt idx="32">
                  <c:v>5.13</c:v>
                </c:pt>
                <c:pt idx="33">
                  <c:v>5.24</c:v>
                </c:pt>
                <c:pt idx="34">
                  <c:v>5.32</c:v>
                </c:pt>
                <c:pt idx="35">
                  <c:v>5.4</c:v>
                </c:pt>
                <c:pt idx="36">
                  <c:v>5.46</c:v>
                </c:pt>
                <c:pt idx="37">
                  <c:v>5.54</c:v>
                </c:pt>
                <c:pt idx="38">
                  <c:v>5.63</c:v>
                </c:pt>
                <c:pt idx="39">
                  <c:v>5.7</c:v>
                </c:pt>
                <c:pt idx="40">
                  <c:v>5.77</c:v>
                </c:pt>
                <c:pt idx="41">
                  <c:v>5.84</c:v>
                </c:pt>
                <c:pt idx="42">
                  <c:v>5.88</c:v>
                </c:pt>
                <c:pt idx="43">
                  <c:v>5.93</c:v>
                </c:pt>
                <c:pt idx="44">
                  <c:v>5.98</c:v>
                </c:pt>
                <c:pt idx="45">
                  <c:v>6.04</c:v>
                </c:pt>
                <c:pt idx="46">
                  <c:v>6.09</c:v>
                </c:pt>
                <c:pt idx="47">
                  <c:v>6.14</c:v>
                </c:pt>
                <c:pt idx="48">
                  <c:v>6.19</c:v>
                </c:pt>
                <c:pt idx="49">
                  <c:v>6.24</c:v>
                </c:pt>
                <c:pt idx="50">
                  <c:v>6.26</c:v>
                </c:pt>
                <c:pt idx="51">
                  <c:v>6.28</c:v>
                </c:pt>
                <c:pt idx="52">
                  <c:v>6.33</c:v>
                </c:pt>
                <c:pt idx="53">
                  <c:v>6.34</c:v>
                </c:pt>
                <c:pt idx="54">
                  <c:v>6.37</c:v>
                </c:pt>
                <c:pt idx="55">
                  <c:v>6.38</c:v>
                </c:pt>
                <c:pt idx="56">
                  <c:v>6.4</c:v>
                </c:pt>
                <c:pt idx="57">
                  <c:v>6.43</c:v>
                </c:pt>
                <c:pt idx="58">
                  <c:v>6.46</c:v>
                </c:pt>
                <c:pt idx="59">
                  <c:v>6.49</c:v>
                </c:pt>
                <c:pt idx="60">
                  <c:v>6.53</c:v>
                </c:pt>
                <c:pt idx="61">
                  <c:v>6.57</c:v>
                </c:pt>
                <c:pt idx="62">
                  <c:v>6.6</c:v>
                </c:pt>
                <c:pt idx="63">
                  <c:v>6.62</c:v>
                </c:pt>
                <c:pt idx="64">
                  <c:v>6.65</c:v>
                </c:pt>
                <c:pt idx="65">
                  <c:v>6.67</c:v>
                </c:pt>
                <c:pt idx="66">
                  <c:v>6.68</c:v>
                </c:pt>
                <c:pt idx="67">
                  <c:v>6.7</c:v>
                </c:pt>
                <c:pt idx="68">
                  <c:v>6.71</c:v>
                </c:pt>
                <c:pt idx="69">
                  <c:v>6.74</c:v>
                </c:pt>
                <c:pt idx="70">
                  <c:v>6.75</c:v>
                </c:pt>
                <c:pt idx="71">
                  <c:v>6.77</c:v>
                </c:pt>
                <c:pt idx="72">
                  <c:v>6.78</c:v>
                </c:pt>
                <c:pt idx="73">
                  <c:v>6.8</c:v>
                </c:pt>
                <c:pt idx="74">
                  <c:v>6.83</c:v>
                </c:pt>
                <c:pt idx="75">
                  <c:v>6.85</c:v>
                </c:pt>
                <c:pt idx="76">
                  <c:v>6.87</c:v>
                </c:pt>
                <c:pt idx="77">
                  <c:v>6.88</c:v>
                </c:pt>
                <c:pt idx="78">
                  <c:v>6.89</c:v>
                </c:pt>
                <c:pt idx="79">
                  <c:v>6.92</c:v>
                </c:pt>
                <c:pt idx="80">
                  <c:v>6.94</c:v>
                </c:pt>
                <c:pt idx="81">
                  <c:v>6.95</c:v>
                </c:pt>
                <c:pt idx="82">
                  <c:v>6.98</c:v>
                </c:pt>
                <c:pt idx="83">
                  <c:v>7</c:v>
                </c:pt>
                <c:pt idx="84">
                  <c:v>7.02</c:v>
                </c:pt>
                <c:pt idx="85">
                  <c:v>7.05</c:v>
                </c:pt>
                <c:pt idx="86">
                  <c:v>7.07</c:v>
                </c:pt>
                <c:pt idx="87">
                  <c:v>7.09</c:v>
                </c:pt>
                <c:pt idx="88">
                  <c:v>7.12</c:v>
                </c:pt>
                <c:pt idx="89">
                  <c:v>7.16</c:v>
                </c:pt>
                <c:pt idx="90">
                  <c:v>7.2</c:v>
                </c:pt>
                <c:pt idx="91">
                  <c:v>7.21</c:v>
                </c:pt>
                <c:pt idx="92">
                  <c:v>7.24</c:v>
                </c:pt>
                <c:pt idx="93">
                  <c:v>7.27</c:v>
                </c:pt>
                <c:pt idx="94">
                  <c:v>7.33</c:v>
                </c:pt>
                <c:pt idx="95">
                  <c:v>7.35</c:v>
                </c:pt>
                <c:pt idx="96">
                  <c:v>7.39</c:v>
                </c:pt>
                <c:pt idx="97">
                  <c:v>7.43</c:v>
                </c:pt>
                <c:pt idx="98">
                  <c:v>7.48</c:v>
                </c:pt>
                <c:pt idx="99">
                  <c:v>7.52</c:v>
                </c:pt>
                <c:pt idx="100">
                  <c:v>7.56</c:v>
                </c:pt>
                <c:pt idx="101">
                  <c:v>7.62</c:v>
                </c:pt>
                <c:pt idx="102">
                  <c:v>7.65</c:v>
                </c:pt>
                <c:pt idx="103">
                  <c:v>7.7</c:v>
                </c:pt>
                <c:pt idx="104">
                  <c:v>7.75</c:v>
                </c:pt>
                <c:pt idx="105">
                  <c:v>7.78</c:v>
                </c:pt>
                <c:pt idx="106">
                  <c:v>7.82</c:v>
                </c:pt>
                <c:pt idx="107">
                  <c:v>7.88</c:v>
                </c:pt>
                <c:pt idx="108">
                  <c:v>7.91</c:v>
                </c:pt>
                <c:pt idx="109">
                  <c:v>7.99</c:v>
                </c:pt>
                <c:pt idx="110">
                  <c:v>8.0299999999999994</c:v>
                </c:pt>
                <c:pt idx="111">
                  <c:v>8.0399999999999991</c:v>
                </c:pt>
                <c:pt idx="112">
                  <c:v>8.08</c:v>
                </c:pt>
                <c:pt idx="113">
                  <c:v>8.1199999999999992</c:v>
                </c:pt>
                <c:pt idx="114">
                  <c:v>8.15</c:v>
                </c:pt>
                <c:pt idx="115">
                  <c:v>8.17</c:v>
                </c:pt>
                <c:pt idx="116">
                  <c:v>8.2100000000000009</c:v>
                </c:pt>
                <c:pt idx="117">
                  <c:v>8.24</c:v>
                </c:pt>
                <c:pt idx="118">
                  <c:v>8.26</c:v>
                </c:pt>
                <c:pt idx="119">
                  <c:v>8.2799999999999994</c:v>
                </c:pt>
                <c:pt idx="120">
                  <c:v>8.3000000000000007</c:v>
                </c:pt>
                <c:pt idx="121">
                  <c:v>8.33</c:v>
                </c:pt>
                <c:pt idx="122">
                  <c:v>8.3699999999999992</c:v>
                </c:pt>
                <c:pt idx="123">
                  <c:v>8.39</c:v>
                </c:pt>
                <c:pt idx="124">
                  <c:v>8.42</c:v>
                </c:pt>
                <c:pt idx="125">
                  <c:v>8.4700000000000006</c:v>
                </c:pt>
                <c:pt idx="126">
                  <c:v>8.52</c:v>
                </c:pt>
                <c:pt idx="127">
                  <c:v>8.57</c:v>
                </c:pt>
                <c:pt idx="128">
                  <c:v>8.6300000000000008</c:v>
                </c:pt>
                <c:pt idx="129">
                  <c:v>8.6999999999999993</c:v>
                </c:pt>
                <c:pt idx="130">
                  <c:v>8.77</c:v>
                </c:pt>
                <c:pt idx="131">
                  <c:v>8.83</c:v>
                </c:pt>
                <c:pt idx="132">
                  <c:v>8.8800000000000008</c:v>
                </c:pt>
                <c:pt idx="133">
                  <c:v>8.94</c:v>
                </c:pt>
                <c:pt idx="134">
                  <c:v>8.98</c:v>
                </c:pt>
                <c:pt idx="135">
                  <c:v>9.0399999999999991</c:v>
                </c:pt>
                <c:pt idx="136">
                  <c:v>9.08</c:v>
                </c:pt>
                <c:pt idx="137">
                  <c:v>9.1300000000000008</c:v>
                </c:pt>
                <c:pt idx="138">
                  <c:v>9.17</c:v>
                </c:pt>
                <c:pt idx="139">
                  <c:v>9.1999999999999993</c:v>
                </c:pt>
                <c:pt idx="140">
                  <c:v>9.26</c:v>
                </c:pt>
                <c:pt idx="141">
                  <c:v>9.2899999999999991</c:v>
                </c:pt>
                <c:pt idx="142">
                  <c:v>9.33</c:v>
                </c:pt>
                <c:pt idx="143">
                  <c:v>9.3699999999999992</c:v>
                </c:pt>
                <c:pt idx="144">
                  <c:v>9.42</c:v>
                </c:pt>
                <c:pt idx="145">
                  <c:v>9.4600000000000009</c:v>
                </c:pt>
                <c:pt idx="146">
                  <c:v>9.5</c:v>
                </c:pt>
                <c:pt idx="147">
                  <c:v>9.5399999999999991</c:v>
                </c:pt>
                <c:pt idx="148">
                  <c:v>9.58</c:v>
                </c:pt>
                <c:pt idx="149">
                  <c:v>9.6300000000000008</c:v>
                </c:pt>
                <c:pt idx="150">
                  <c:v>9.67</c:v>
                </c:pt>
                <c:pt idx="151">
                  <c:v>9.7200000000000006</c:v>
                </c:pt>
                <c:pt idx="152">
                  <c:v>9.76</c:v>
                </c:pt>
                <c:pt idx="153">
                  <c:v>9.81</c:v>
                </c:pt>
                <c:pt idx="154">
                  <c:v>9.85</c:v>
                </c:pt>
                <c:pt idx="155">
                  <c:v>9.9</c:v>
                </c:pt>
                <c:pt idx="156">
                  <c:v>9.9499999999999993</c:v>
                </c:pt>
                <c:pt idx="157">
                  <c:v>10.119999999999999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AA-4A64-AD06-59B23181C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253856"/>
        <c:axId val="1962250496"/>
      </c:scatterChart>
      <c:valAx>
        <c:axId val="196225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62250496"/>
        <c:crosses val="autoZero"/>
        <c:crossBetween val="midCat"/>
      </c:valAx>
      <c:valAx>
        <c:axId val="196225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6225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329292</xdr:colOff>
      <xdr:row>3</xdr:row>
      <xdr:rowOff>5442</xdr:rowOff>
    </xdr:from>
    <xdr:to>
      <xdr:col>15</xdr:col>
      <xdr:colOff>329292</xdr:colOff>
      <xdr:row>17</xdr:row>
      <xdr:rowOff>157842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80265-FAA5-0C9F-43F0-37112059A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9236-AB1D-4E09-A471-B5933764CB0F}">
  <dimension ref="A1:B159"/>
  <sheetViews>
    <sheetView tabSelected="1" zoomScale="114" workbookViewId="0">
      <selection activeCell="G14" sqref="G14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1.69</v>
      </c>
    </row>
    <row r="3" spans="1:2" x14ac:dyDescent="0.4">
      <c r="A3">
        <v>0.4</v>
      </c>
      <c r="B3">
        <v>1.68</v>
      </c>
    </row>
    <row r="4" spans="1:2" x14ac:dyDescent="0.4">
      <c r="A4">
        <v>0.7</v>
      </c>
      <c r="B4">
        <v>1.69</v>
      </c>
    </row>
    <row r="5" spans="1:2" x14ac:dyDescent="0.4">
      <c r="A5">
        <v>1.2</v>
      </c>
      <c r="B5">
        <v>1.71</v>
      </c>
    </row>
    <row r="6" spans="1:2" x14ac:dyDescent="0.4">
      <c r="A6">
        <v>1.9</v>
      </c>
      <c r="B6">
        <v>1.74</v>
      </c>
    </row>
    <row r="7" spans="1:2" x14ac:dyDescent="0.4">
      <c r="A7">
        <v>2.2000000000000002</v>
      </c>
      <c r="B7">
        <v>1.76</v>
      </c>
    </row>
    <row r="8" spans="1:2" x14ac:dyDescent="0.4">
      <c r="A8">
        <v>2.5</v>
      </c>
      <c r="B8">
        <v>1.78</v>
      </c>
    </row>
    <row r="9" spans="1:2" x14ac:dyDescent="0.4">
      <c r="A9">
        <v>2.9</v>
      </c>
      <c r="B9">
        <v>1.8</v>
      </c>
    </row>
    <row r="10" spans="1:2" x14ac:dyDescent="0.4">
      <c r="A10">
        <v>3.2</v>
      </c>
      <c r="B10">
        <v>1.81</v>
      </c>
    </row>
    <row r="11" spans="1:2" x14ac:dyDescent="0.4">
      <c r="A11">
        <v>3.8</v>
      </c>
      <c r="B11">
        <v>1.85</v>
      </c>
    </row>
    <row r="12" spans="1:2" x14ac:dyDescent="0.4">
      <c r="A12">
        <v>4.2</v>
      </c>
      <c r="B12">
        <v>1.88</v>
      </c>
    </row>
    <row r="13" spans="1:2" x14ac:dyDescent="0.4">
      <c r="A13">
        <v>4.5999999999999996</v>
      </c>
      <c r="B13">
        <v>1.91</v>
      </c>
    </row>
    <row r="14" spans="1:2" x14ac:dyDescent="0.4">
      <c r="A14">
        <v>5</v>
      </c>
      <c r="B14">
        <v>1.94</v>
      </c>
    </row>
    <row r="15" spans="1:2" x14ac:dyDescent="0.4">
      <c r="A15">
        <v>5.4</v>
      </c>
      <c r="B15">
        <v>2</v>
      </c>
    </row>
    <row r="16" spans="1:2" x14ac:dyDescent="0.4">
      <c r="A16">
        <v>6</v>
      </c>
      <c r="B16">
        <v>2.04</v>
      </c>
    </row>
    <row r="17" spans="1:2" x14ac:dyDescent="0.4">
      <c r="A17">
        <v>7</v>
      </c>
      <c r="B17">
        <v>2.12</v>
      </c>
    </row>
    <row r="18" spans="1:2" x14ac:dyDescent="0.4">
      <c r="A18">
        <v>8</v>
      </c>
      <c r="B18">
        <v>2.16</v>
      </c>
    </row>
    <row r="19" spans="1:2" x14ac:dyDescent="0.4">
      <c r="A19">
        <v>9</v>
      </c>
      <c r="B19">
        <v>2.2799999999999998</v>
      </c>
    </row>
    <row r="20" spans="1:2" x14ac:dyDescent="0.4">
      <c r="A20">
        <v>10</v>
      </c>
      <c r="B20">
        <v>2.48</v>
      </c>
    </row>
    <row r="21" spans="1:2" x14ac:dyDescent="0.4">
      <c r="A21">
        <v>11</v>
      </c>
      <c r="B21">
        <v>2.65</v>
      </c>
    </row>
    <row r="22" spans="1:2" x14ac:dyDescent="0.4">
      <c r="A22">
        <v>12</v>
      </c>
      <c r="B22">
        <v>2.82</v>
      </c>
    </row>
    <row r="23" spans="1:2" x14ac:dyDescent="0.4">
      <c r="A23">
        <v>13</v>
      </c>
      <c r="B23">
        <v>3.04</v>
      </c>
    </row>
    <row r="24" spans="1:2" x14ac:dyDescent="0.4">
      <c r="A24">
        <v>14</v>
      </c>
      <c r="B24">
        <v>3.56</v>
      </c>
    </row>
    <row r="25" spans="1:2" x14ac:dyDescent="0.4">
      <c r="A25">
        <v>14.5</v>
      </c>
      <c r="B25">
        <v>4.2300000000000004</v>
      </c>
    </row>
    <row r="26" spans="1:2" x14ac:dyDescent="0.4">
      <c r="A26">
        <v>14.6</v>
      </c>
      <c r="B26">
        <v>4.3600000000000003</v>
      </c>
    </row>
    <row r="27" spans="1:2" x14ac:dyDescent="0.4">
      <c r="A27">
        <v>14.7</v>
      </c>
      <c r="B27">
        <v>4.53</v>
      </c>
    </row>
    <row r="28" spans="1:2" x14ac:dyDescent="0.4">
      <c r="A28">
        <v>14.8</v>
      </c>
      <c r="B28">
        <v>4.63</v>
      </c>
    </row>
    <row r="29" spans="1:2" x14ac:dyDescent="0.4">
      <c r="A29">
        <v>14.9</v>
      </c>
      <c r="B29">
        <v>4.71</v>
      </c>
    </row>
    <row r="30" spans="1:2" x14ac:dyDescent="0.4">
      <c r="A30">
        <v>15</v>
      </c>
      <c r="B30">
        <v>4.8099999999999996</v>
      </c>
    </row>
    <row r="31" spans="1:2" x14ac:dyDescent="0.4">
      <c r="A31">
        <v>15.1</v>
      </c>
      <c r="B31">
        <v>4.9000000000000004</v>
      </c>
    </row>
    <row r="32" spans="1:2" x14ac:dyDescent="0.4">
      <c r="A32">
        <v>15.2</v>
      </c>
      <c r="B32">
        <v>4.95</v>
      </c>
    </row>
    <row r="33" spans="1:2" x14ac:dyDescent="0.4">
      <c r="A33">
        <v>15.4</v>
      </c>
      <c r="B33">
        <v>5.03</v>
      </c>
    </row>
    <row r="34" spans="1:2" x14ac:dyDescent="0.4">
      <c r="A34">
        <v>15.6</v>
      </c>
      <c r="B34">
        <v>5.13</v>
      </c>
    </row>
    <row r="35" spans="1:2" x14ac:dyDescent="0.4">
      <c r="A35">
        <v>15.9</v>
      </c>
      <c r="B35">
        <v>5.24</v>
      </c>
    </row>
    <row r="36" spans="1:2" x14ac:dyDescent="0.4">
      <c r="A36">
        <v>16.2</v>
      </c>
      <c r="B36">
        <v>5.32</v>
      </c>
    </row>
    <row r="37" spans="1:2" x14ac:dyDescent="0.4">
      <c r="A37">
        <v>16.5</v>
      </c>
      <c r="B37">
        <v>5.4</v>
      </c>
    </row>
    <row r="38" spans="1:2" x14ac:dyDescent="0.4">
      <c r="A38">
        <v>16.8</v>
      </c>
      <c r="B38">
        <v>5.46</v>
      </c>
    </row>
    <row r="39" spans="1:2" x14ac:dyDescent="0.4">
      <c r="A39">
        <v>17.2</v>
      </c>
      <c r="B39">
        <v>5.54</v>
      </c>
    </row>
    <row r="40" spans="1:2" x14ac:dyDescent="0.4">
      <c r="A40">
        <v>17.7</v>
      </c>
      <c r="B40">
        <v>5.63</v>
      </c>
    </row>
    <row r="41" spans="1:2" x14ac:dyDescent="0.4">
      <c r="A41">
        <v>18.2</v>
      </c>
      <c r="B41">
        <v>5.7</v>
      </c>
    </row>
    <row r="42" spans="1:2" x14ac:dyDescent="0.4">
      <c r="A42">
        <v>18.7</v>
      </c>
      <c r="B42">
        <v>5.77</v>
      </c>
    </row>
    <row r="43" spans="1:2" x14ac:dyDescent="0.4">
      <c r="A43">
        <v>19.3</v>
      </c>
      <c r="B43">
        <v>5.84</v>
      </c>
    </row>
    <row r="44" spans="1:2" x14ac:dyDescent="0.4">
      <c r="A44">
        <v>19.7</v>
      </c>
      <c r="B44">
        <v>5.88</v>
      </c>
    </row>
    <row r="45" spans="1:2" x14ac:dyDescent="0.4">
      <c r="A45">
        <v>20.2</v>
      </c>
      <c r="B45">
        <v>5.93</v>
      </c>
    </row>
    <row r="46" spans="1:2" x14ac:dyDescent="0.4">
      <c r="A46">
        <v>20.7</v>
      </c>
      <c r="B46">
        <v>5.98</v>
      </c>
    </row>
    <row r="47" spans="1:2" x14ac:dyDescent="0.4">
      <c r="A47">
        <v>21.2</v>
      </c>
      <c r="B47">
        <v>6.04</v>
      </c>
    </row>
    <row r="48" spans="1:2" x14ac:dyDescent="0.4">
      <c r="A48">
        <v>21.7</v>
      </c>
      <c r="B48">
        <v>6.09</v>
      </c>
    </row>
    <row r="49" spans="1:2" x14ac:dyDescent="0.4">
      <c r="A49">
        <v>22.2</v>
      </c>
      <c r="B49">
        <v>6.14</v>
      </c>
    </row>
    <row r="50" spans="1:2" x14ac:dyDescent="0.4">
      <c r="A50">
        <v>22.7</v>
      </c>
      <c r="B50">
        <v>6.19</v>
      </c>
    </row>
    <row r="51" spans="1:2" x14ac:dyDescent="0.4">
      <c r="A51">
        <v>23.2</v>
      </c>
      <c r="B51">
        <v>6.24</v>
      </c>
    </row>
    <row r="52" spans="1:2" x14ac:dyDescent="0.4">
      <c r="A52">
        <v>23.5</v>
      </c>
      <c r="B52">
        <v>6.26</v>
      </c>
    </row>
    <row r="53" spans="1:2" x14ac:dyDescent="0.4">
      <c r="A53">
        <v>23.8</v>
      </c>
      <c r="B53">
        <v>6.28</v>
      </c>
    </row>
    <row r="54" spans="1:2" x14ac:dyDescent="0.4">
      <c r="A54">
        <v>24.2</v>
      </c>
      <c r="B54">
        <v>6.33</v>
      </c>
    </row>
    <row r="55" spans="1:2" x14ac:dyDescent="0.4">
      <c r="A55">
        <f>24.2+0.2</f>
        <v>24.4</v>
      </c>
      <c r="B55">
        <v>6.34</v>
      </c>
    </row>
    <row r="56" spans="1:2" x14ac:dyDescent="0.4">
      <c r="A56">
        <v>24.6</v>
      </c>
      <c r="B56">
        <v>6.37</v>
      </c>
    </row>
    <row r="57" spans="1:2" x14ac:dyDescent="0.4">
      <c r="A57">
        <f>24.2+0.6</f>
        <v>24.8</v>
      </c>
      <c r="B57">
        <v>6.38</v>
      </c>
    </row>
    <row r="58" spans="1:2" x14ac:dyDescent="0.4">
      <c r="A58">
        <v>25</v>
      </c>
      <c r="B58">
        <v>6.4</v>
      </c>
    </row>
    <row r="59" spans="1:2" x14ac:dyDescent="0.4">
      <c r="A59">
        <f>24.2+1</f>
        <v>25.2</v>
      </c>
      <c r="B59">
        <v>6.43</v>
      </c>
    </row>
    <row r="60" spans="1:2" x14ac:dyDescent="0.4">
      <c r="A60">
        <f>24.2+1.3</f>
        <v>25.5</v>
      </c>
      <c r="B60">
        <v>6.46</v>
      </c>
    </row>
    <row r="61" spans="1:2" x14ac:dyDescent="0.4">
      <c r="A61">
        <f>24.2+1.6</f>
        <v>25.8</v>
      </c>
      <c r="B61">
        <v>6.49</v>
      </c>
    </row>
    <row r="62" spans="1:2" x14ac:dyDescent="0.4">
      <c r="A62">
        <f>24.2+1.9</f>
        <v>26.099999999999998</v>
      </c>
      <c r="B62">
        <v>6.53</v>
      </c>
    </row>
    <row r="63" spans="1:2" x14ac:dyDescent="0.4">
      <c r="A63">
        <f>24.2+2.2</f>
        <v>26.4</v>
      </c>
      <c r="B63">
        <v>6.57</v>
      </c>
    </row>
    <row r="64" spans="1:2" x14ac:dyDescent="0.4">
      <c r="A64">
        <f>24.2+2.5</f>
        <v>26.7</v>
      </c>
      <c r="B64">
        <v>6.6</v>
      </c>
    </row>
    <row r="65" spans="1:2" x14ac:dyDescent="0.4">
      <c r="A65">
        <f>24.2+2.7</f>
        <v>26.9</v>
      </c>
      <c r="B65">
        <v>6.62</v>
      </c>
    </row>
    <row r="66" spans="1:2" x14ac:dyDescent="0.4">
      <c r="A66">
        <f>24.2+2.9</f>
        <v>27.099999999999998</v>
      </c>
      <c r="B66">
        <v>6.65</v>
      </c>
    </row>
    <row r="67" spans="1:2" x14ac:dyDescent="0.4">
      <c r="A67">
        <f>24.2+3</f>
        <v>27.2</v>
      </c>
      <c r="B67">
        <v>6.67</v>
      </c>
    </row>
    <row r="68" spans="1:2" x14ac:dyDescent="0.4">
      <c r="A68">
        <f>24.2+3.1</f>
        <v>27.3</v>
      </c>
      <c r="B68">
        <v>6.68</v>
      </c>
    </row>
    <row r="69" spans="1:2" x14ac:dyDescent="0.4">
      <c r="A69">
        <f>24.2+3.2</f>
        <v>27.4</v>
      </c>
      <c r="B69">
        <v>6.7</v>
      </c>
    </row>
    <row r="70" spans="1:2" x14ac:dyDescent="0.4">
      <c r="A70">
        <f>24.2+3.3</f>
        <v>27.5</v>
      </c>
      <c r="B70">
        <v>6.71</v>
      </c>
    </row>
    <row r="71" spans="1:2" x14ac:dyDescent="0.4">
      <c r="A71">
        <f>24.2+3.4</f>
        <v>27.599999999999998</v>
      </c>
      <c r="B71">
        <v>6.74</v>
      </c>
    </row>
    <row r="72" spans="1:2" x14ac:dyDescent="0.4">
      <c r="A72">
        <f>24.2+3.5</f>
        <v>27.7</v>
      </c>
      <c r="B72">
        <v>6.75</v>
      </c>
    </row>
    <row r="73" spans="1:2" x14ac:dyDescent="0.4">
      <c r="A73">
        <f>24.2+3.7</f>
        <v>27.9</v>
      </c>
      <c r="B73">
        <v>6.77</v>
      </c>
    </row>
    <row r="74" spans="1:2" x14ac:dyDescent="0.4">
      <c r="A74">
        <f>24.2+3.8</f>
        <v>28</v>
      </c>
      <c r="B74">
        <v>6.78</v>
      </c>
    </row>
    <row r="75" spans="1:2" x14ac:dyDescent="0.4">
      <c r="A75">
        <f>24.2+3.9</f>
        <v>28.099999999999998</v>
      </c>
      <c r="B75">
        <v>6.8</v>
      </c>
    </row>
    <row r="76" spans="1:2" x14ac:dyDescent="0.4">
      <c r="A76">
        <f>24.2+4</f>
        <v>28.2</v>
      </c>
      <c r="B76">
        <v>6.83</v>
      </c>
    </row>
    <row r="77" spans="1:2" x14ac:dyDescent="0.4">
      <c r="A77">
        <f>24.2+4.1</f>
        <v>28.299999999999997</v>
      </c>
      <c r="B77">
        <v>6.85</v>
      </c>
    </row>
    <row r="78" spans="1:2" x14ac:dyDescent="0.4">
      <c r="A78">
        <f>24.2+4.2</f>
        <v>28.4</v>
      </c>
      <c r="B78">
        <v>6.87</v>
      </c>
    </row>
    <row r="79" spans="1:2" x14ac:dyDescent="0.4">
      <c r="A79">
        <f>24.2+4.3</f>
        <v>28.5</v>
      </c>
      <c r="B79">
        <v>6.88</v>
      </c>
    </row>
    <row r="80" spans="1:2" x14ac:dyDescent="0.4">
      <c r="A80">
        <f>24.2+4.4</f>
        <v>28.6</v>
      </c>
      <c r="B80">
        <v>6.89</v>
      </c>
    </row>
    <row r="81" spans="1:2" x14ac:dyDescent="0.4">
      <c r="A81">
        <f>24.2+4.5</f>
        <v>28.7</v>
      </c>
      <c r="B81">
        <v>6.92</v>
      </c>
    </row>
    <row r="82" spans="1:2" x14ac:dyDescent="0.4">
      <c r="A82">
        <f>24.2+4.6</f>
        <v>28.799999999999997</v>
      </c>
      <c r="B82">
        <v>6.94</v>
      </c>
    </row>
    <row r="83" spans="1:2" x14ac:dyDescent="0.4">
      <c r="A83">
        <f>24.2+4.7</f>
        <v>28.9</v>
      </c>
      <c r="B83">
        <v>6.95</v>
      </c>
    </row>
    <row r="84" spans="1:2" x14ac:dyDescent="0.4">
      <c r="A84">
        <f>24.2+4.8</f>
        <v>29</v>
      </c>
      <c r="B84">
        <v>6.98</v>
      </c>
    </row>
    <row r="85" spans="1:2" x14ac:dyDescent="0.4">
      <c r="A85">
        <f>24.2+4.9</f>
        <v>29.1</v>
      </c>
      <c r="B85">
        <v>7</v>
      </c>
    </row>
    <row r="86" spans="1:2" x14ac:dyDescent="0.4">
      <c r="A86">
        <f>24.2+5</f>
        <v>29.2</v>
      </c>
      <c r="B86">
        <v>7.02</v>
      </c>
    </row>
    <row r="87" spans="1:2" x14ac:dyDescent="0.4">
      <c r="A87">
        <f>24.2+5.1</f>
        <v>29.299999999999997</v>
      </c>
      <c r="B87">
        <v>7.05</v>
      </c>
    </row>
    <row r="88" spans="1:2" x14ac:dyDescent="0.4">
      <c r="A88">
        <f>24.2+5.2</f>
        <v>29.4</v>
      </c>
      <c r="B88">
        <v>7.07</v>
      </c>
    </row>
    <row r="89" spans="1:2" x14ac:dyDescent="0.4">
      <c r="A89">
        <f>24.2+5.3</f>
        <v>29.5</v>
      </c>
      <c r="B89">
        <v>7.09</v>
      </c>
    </row>
    <row r="90" spans="1:2" x14ac:dyDescent="0.4">
      <c r="A90">
        <f>29.6</f>
        <v>29.6</v>
      </c>
      <c r="B90">
        <v>7.12</v>
      </c>
    </row>
    <row r="91" spans="1:2" x14ac:dyDescent="0.4">
      <c r="A91">
        <f>24.2+5.5</f>
        <v>29.7</v>
      </c>
      <c r="B91">
        <v>7.16</v>
      </c>
    </row>
    <row r="92" spans="1:2" x14ac:dyDescent="0.4">
      <c r="A92">
        <f>24.2+5.6</f>
        <v>29.799999999999997</v>
      </c>
      <c r="B92">
        <v>7.2</v>
      </c>
    </row>
    <row r="93" spans="1:2" x14ac:dyDescent="0.4">
      <c r="A93">
        <f>24.2+5.7</f>
        <v>29.9</v>
      </c>
      <c r="B93">
        <v>7.21</v>
      </c>
    </row>
    <row r="94" spans="1:2" x14ac:dyDescent="0.4">
      <c r="A94">
        <f>24.2+5.8</f>
        <v>30</v>
      </c>
      <c r="B94">
        <v>7.24</v>
      </c>
    </row>
    <row r="95" spans="1:2" x14ac:dyDescent="0.4">
      <c r="A95">
        <f>24.2+5.9</f>
        <v>30.1</v>
      </c>
      <c r="B95">
        <v>7.27</v>
      </c>
    </row>
    <row r="96" spans="1:2" x14ac:dyDescent="0.4">
      <c r="A96">
        <f>24.2+6</f>
        <v>30.2</v>
      </c>
      <c r="B96">
        <v>7.33</v>
      </c>
    </row>
    <row r="97" spans="1:2" x14ac:dyDescent="0.4">
      <c r="A97">
        <f>30.3</f>
        <v>30.3</v>
      </c>
      <c r="B97">
        <v>7.35</v>
      </c>
    </row>
    <row r="98" spans="1:2" x14ac:dyDescent="0.4">
      <c r="A98">
        <f>24.2+6.2</f>
        <v>30.4</v>
      </c>
      <c r="B98">
        <v>7.39</v>
      </c>
    </row>
    <row r="99" spans="1:2" x14ac:dyDescent="0.4">
      <c r="A99">
        <f>24.2+6.3</f>
        <v>30.5</v>
      </c>
      <c r="B99">
        <v>7.43</v>
      </c>
    </row>
    <row r="100" spans="1:2" x14ac:dyDescent="0.4">
      <c r="A100">
        <f>24.2+6.4</f>
        <v>30.6</v>
      </c>
      <c r="B100">
        <v>7.48</v>
      </c>
    </row>
    <row r="101" spans="1:2" x14ac:dyDescent="0.4">
      <c r="A101">
        <f>24.2+6.5</f>
        <v>30.7</v>
      </c>
      <c r="B101">
        <v>7.52</v>
      </c>
    </row>
    <row r="102" spans="1:2" x14ac:dyDescent="0.4">
      <c r="A102">
        <f>24.2+6.6</f>
        <v>30.799999999999997</v>
      </c>
      <c r="B102">
        <v>7.56</v>
      </c>
    </row>
    <row r="103" spans="1:2" x14ac:dyDescent="0.4">
      <c r="A103">
        <f>24.2+6.7</f>
        <v>30.9</v>
      </c>
      <c r="B103">
        <v>7.62</v>
      </c>
    </row>
    <row r="104" spans="1:2" x14ac:dyDescent="0.4">
      <c r="A104">
        <f>24.2+6.8</f>
        <v>31</v>
      </c>
      <c r="B104">
        <v>7.65</v>
      </c>
    </row>
    <row r="105" spans="1:2" x14ac:dyDescent="0.4">
      <c r="A105">
        <f>24.2+6.9</f>
        <v>31.1</v>
      </c>
      <c r="B105">
        <v>7.7</v>
      </c>
    </row>
    <row r="106" spans="1:2" x14ac:dyDescent="0.4">
      <c r="A106">
        <f>24.2+7</f>
        <v>31.2</v>
      </c>
      <c r="B106">
        <v>7.75</v>
      </c>
    </row>
    <row r="107" spans="1:2" x14ac:dyDescent="0.4">
      <c r="A107">
        <f>31.3</f>
        <v>31.3</v>
      </c>
      <c r="B107">
        <v>7.78</v>
      </c>
    </row>
    <row r="108" spans="1:2" x14ac:dyDescent="0.4">
      <c r="A108">
        <f>24.2+7.2</f>
        <v>31.4</v>
      </c>
      <c r="B108">
        <v>7.82</v>
      </c>
    </row>
    <row r="109" spans="1:2" x14ac:dyDescent="0.4">
      <c r="A109">
        <f>24.2+7.3</f>
        <v>31.5</v>
      </c>
      <c r="B109">
        <v>7.88</v>
      </c>
    </row>
    <row r="110" spans="1:2" x14ac:dyDescent="0.4">
      <c r="A110">
        <f>24.2+7.45</f>
        <v>31.65</v>
      </c>
      <c r="B110">
        <v>7.91</v>
      </c>
    </row>
    <row r="111" spans="1:2" x14ac:dyDescent="0.4">
      <c r="A111">
        <f>24.2+7.6</f>
        <v>31.799999999999997</v>
      </c>
      <c r="B111">
        <v>7.99</v>
      </c>
    </row>
    <row r="112" spans="1:2" x14ac:dyDescent="0.4">
      <c r="A112">
        <f>24.2+7.7</f>
        <v>31.9</v>
      </c>
      <c r="B112">
        <v>8.0299999999999994</v>
      </c>
    </row>
    <row r="113" spans="1:2" x14ac:dyDescent="0.4">
      <c r="A113">
        <f>24.2+7.8</f>
        <v>32</v>
      </c>
      <c r="B113">
        <v>8.0399999999999991</v>
      </c>
    </row>
    <row r="114" spans="1:2" x14ac:dyDescent="0.4">
      <c r="A114">
        <f>24.2+7.9</f>
        <v>32.1</v>
      </c>
      <c r="B114">
        <v>8.08</v>
      </c>
    </row>
    <row r="115" spans="1:2" x14ac:dyDescent="0.4">
      <c r="A115">
        <f>24.2+8</f>
        <v>32.200000000000003</v>
      </c>
      <c r="B115">
        <v>8.1199999999999992</v>
      </c>
    </row>
    <row r="116" spans="1:2" x14ac:dyDescent="0.4">
      <c r="A116">
        <f>24.2+8.1</f>
        <v>32.299999999999997</v>
      </c>
      <c r="B116">
        <v>8.15</v>
      </c>
    </row>
    <row r="117" spans="1:2" x14ac:dyDescent="0.4">
      <c r="A117">
        <f>24.2+8.2</f>
        <v>32.4</v>
      </c>
      <c r="B117">
        <v>8.17</v>
      </c>
    </row>
    <row r="118" spans="1:2" x14ac:dyDescent="0.4">
      <c r="A118">
        <f>24.2+8.3</f>
        <v>32.5</v>
      </c>
      <c r="B118">
        <v>8.2100000000000009</v>
      </c>
    </row>
    <row r="119" spans="1:2" x14ac:dyDescent="0.4">
      <c r="A119">
        <f>24.2+8.4</f>
        <v>32.6</v>
      </c>
      <c r="B119">
        <v>8.24</v>
      </c>
    </row>
    <row r="120" spans="1:2" x14ac:dyDescent="0.4">
      <c r="A120">
        <f>24.2+8.5</f>
        <v>32.700000000000003</v>
      </c>
      <c r="B120">
        <v>8.26</v>
      </c>
    </row>
    <row r="121" spans="1:2" x14ac:dyDescent="0.4">
      <c r="A121">
        <f>24.2+8.6</f>
        <v>32.799999999999997</v>
      </c>
      <c r="B121">
        <v>8.2799999999999994</v>
      </c>
    </row>
    <row r="122" spans="1:2" x14ac:dyDescent="0.4">
      <c r="A122">
        <f>24.2+8.7</f>
        <v>32.9</v>
      </c>
      <c r="B122">
        <v>8.3000000000000007</v>
      </c>
    </row>
    <row r="123" spans="1:2" x14ac:dyDescent="0.4">
      <c r="A123">
        <f>24.2+8.8</f>
        <v>33</v>
      </c>
      <c r="B123">
        <v>8.33</v>
      </c>
    </row>
    <row r="124" spans="1:2" x14ac:dyDescent="0.4">
      <c r="A124">
        <f>24.2+8.95</f>
        <v>33.15</v>
      </c>
      <c r="B124">
        <v>8.3699999999999992</v>
      </c>
    </row>
    <row r="125" spans="1:2" x14ac:dyDescent="0.4">
      <c r="A125">
        <f>24.2+9.1</f>
        <v>33.299999999999997</v>
      </c>
      <c r="B125">
        <v>8.39</v>
      </c>
    </row>
    <row r="126" spans="1:2" x14ac:dyDescent="0.4">
      <c r="A126">
        <f>24.2+9.3</f>
        <v>33.5</v>
      </c>
      <c r="B126">
        <v>8.42</v>
      </c>
    </row>
    <row r="127" spans="1:2" x14ac:dyDescent="0.4">
      <c r="A127">
        <f>24.2+9.5</f>
        <v>33.700000000000003</v>
      </c>
      <c r="B127">
        <v>8.4700000000000006</v>
      </c>
    </row>
    <row r="128" spans="1:2" x14ac:dyDescent="0.4">
      <c r="A128">
        <f>24.2+9.8</f>
        <v>34</v>
      </c>
      <c r="B128">
        <v>8.52</v>
      </c>
    </row>
    <row r="129" spans="1:2" x14ac:dyDescent="0.4">
      <c r="A129">
        <f>24.2+10.1</f>
        <v>34.299999999999997</v>
      </c>
      <c r="B129">
        <f>8.57</f>
        <v>8.57</v>
      </c>
    </row>
    <row r="130" spans="1:2" x14ac:dyDescent="0.4">
      <c r="A130">
        <f>24.2+10.5</f>
        <v>34.700000000000003</v>
      </c>
      <c r="B130">
        <v>8.6300000000000008</v>
      </c>
    </row>
    <row r="131" spans="1:2" x14ac:dyDescent="0.4">
      <c r="A131">
        <f>24.2+11</f>
        <v>35.200000000000003</v>
      </c>
      <c r="B131">
        <v>8.6999999999999993</v>
      </c>
    </row>
    <row r="132" spans="1:2" x14ac:dyDescent="0.4">
      <c r="A132">
        <f>24.2+11.5</f>
        <v>35.700000000000003</v>
      </c>
      <c r="B132">
        <v>8.77</v>
      </c>
    </row>
    <row r="133" spans="1:2" x14ac:dyDescent="0.4">
      <c r="A133">
        <f>24.2+12</f>
        <v>36.200000000000003</v>
      </c>
      <c r="B133">
        <v>8.83</v>
      </c>
    </row>
    <row r="134" spans="1:2" x14ac:dyDescent="0.4">
      <c r="A134">
        <f>24.2+12.5</f>
        <v>36.700000000000003</v>
      </c>
      <c r="B134">
        <v>8.8800000000000008</v>
      </c>
    </row>
    <row r="135" spans="1:2" x14ac:dyDescent="0.4">
      <c r="A135">
        <f>24.2+13</f>
        <v>37.200000000000003</v>
      </c>
      <c r="B135">
        <v>8.94</v>
      </c>
    </row>
    <row r="136" spans="1:2" x14ac:dyDescent="0.4">
      <c r="A136">
        <f>24.2+13.5</f>
        <v>37.700000000000003</v>
      </c>
      <c r="B136">
        <v>8.98</v>
      </c>
    </row>
    <row r="137" spans="1:2" x14ac:dyDescent="0.4">
      <c r="A137">
        <f>24.2+14</f>
        <v>38.200000000000003</v>
      </c>
      <c r="B137">
        <v>9.0399999999999991</v>
      </c>
    </row>
    <row r="138" spans="1:2" x14ac:dyDescent="0.4">
      <c r="A138">
        <f>24.2+14.5</f>
        <v>38.700000000000003</v>
      </c>
      <c r="B138">
        <v>9.08</v>
      </c>
    </row>
    <row r="139" spans="1:2" x14ac:dyDescent="0.4">
      <c r="A139">
        <f>24.2+15</f>
        <v>39.200000000000003</v>
      </c>
      <c r="B139">
        <v>9.1300000000000008</v>
      </c>
    </row>
    <row r="140" spans="1:2" x14ac:dyDescent="0.4">
      <c r="A140">
        <f>24.2+15.5</f>
        <v>39.700000000000003</v>
      </c>
      <c r="B140">
        <v>9.17</v>
      </c>
    </row>
    <row r="141" spans="1:2" x14ac:dyDescent="0.4">
      <c r="A141">
        <f>24.2+16</f>
        <v>40.200000000000003</v>
      </c>
      <c r="B141">
        <v>9.1999999999999993</v>
      </c>
    </row>
    <row r="142" spans="1:2" x14ac:dyDescent="0.4">
      <c r="A142">
        <f>24.2+16.5</f>
        <v>40.700000000000003</v>
      </c>
      <c r="B142">
        <v>9.26</v>
      </c>
    </row>
    <row r="143" spans="1:2" x14ac:dyDescent="0.4">
      <c r="A143">
        <f>24.2+17</f>
        <v>41.2</v>
      </c>
      <c r="B143">
        <v>9.2899999999999991</v>
      </c>
    </row>
    <row r="144" spans="1:2" x14ac:dyDescent="0.4">
      <c r="A144">
        <f>24.2+17.5</f>
        <v>41.7</v>
      </c>
      <c r="B144">
        <v>9.33</v>
      </c>
    </row>
    <row r="145" spans="1:2" x14ac:dyDescent="0.4">
      <c r="A145">
        <f>24.2+18</f>
        <v>42.2</v>
      </c>
      <c r="B145">
        <v>9.3699999999999992</v>
      </c>
    </row>
    <row r="146" spans="1:2" x14ac:dyDescent="0.4">
      <c r="A146">
        <f>24.2+18.5</f>
        <v>42.7</v>
      </c>
      <c r="B146">
        <v>9.42</v>
      </c>
    </row>
    <row r="147" spans="1:2" x14ac:dyDescent="0.4">
      <c r="A147">
        <f>24.2+19</f>
        <v>43.2</v>
      </c>
      <c r="B147">
        <v>9.4600000000000009</v>
      </c>
    </row>
    <row r="148" spans="1:2" x14ac:dyDescent="0.4">
      <c r="A148">
        <f>24.2+19.5</f>
        <v>43.7</v>
      </c>
      <c r="B148">
        <v>9.5</v>
      </c>
    </row>
    <row r="149" spans="1:2" x14ac:dyDescent="0.4">
      <c r="A149">
        <f>24.2+20</f>
        <v>44.2</v>
      </c>
      <c r="B149">
        <v>9.5399999999999991</v>
      </c>
    </row>
    <row r="150" spans="1:2" x14ac:dyDescent="0.4">
      <c r="A150">
        <f>24.2+20.5</f>
        <v>44.7</v>
      </c>
      <c r="B150">
        <v>9.58</v>
      </c>
    </row>
    <row r="151" spans="1:2" x14ac:dyDescent="0.4">
      <c r="A151">
        <f>24.2+21</f>
        <v>45.2</v>
      </c>
      <c r="B151">
        <v>9.6300000000000008</v>
      </c>
    </row>
    <row r="152" spans="1:2" x14ac:dyDescent="0.4">
      <c r="A152">
        <f>24.2+21.5</f>
        <v>45.7</v>
      </c>
      <c r="B152">
        <v>9.67</v>
      </c>
    </row>
    <row r="153" spans="1:2" x14ac:dyDescent="0.4">
      <c r="A153">
        <f>24.2+22</f>
        <v>46.2</v>
      </c>
      <c r="B153">
        <v>9.7200000000000006</v>
      </c>
    </row>
    <row r="154" spans="1:2" x14ac:dyDescent="0.4">
      <c r="A154">
        <f>24.2+22.5</f>
        <v>46.7</v>
      </c>
      <c r="B154">
        <v>9.76</v>
      </c>
    </row>
    <row r="155" spans="1:2" x14ac:dyDescent="0.4">
      <c r="A155">
        <f>24.2+23</f>
        <v>47.2</v>
      </c>
      <c r="B155">
        <v>9.81</v>
      </c>
    </row>
    <row r="156" spans="1:2" x14ac:dyDescent="0.4">
      <c r="A156">
        <f>24.2+23.5</f>
        <v>47.7</v>
      </c>
      <c r="B156">
        <v>9.85</v>
      </c>
    </row>
    <row r="157" spans="1:2" x14ac:dyDescent="0.4">
      <c r="A157">
        <f>24.2+24</f>
        <v>48.2</v>
      </c>
      <c r="B157">
        <v>9.9</v>
      </c>
    </row>
    <row r="158" spans="1:2" x14ac:dyDescent="0.4">
      <c r="A158">
        <f>24.2+24.5</f>
        <v>48.7</v>
      </c>
      <c r="B158">
        <v>9.9499999999999993</v>
      </c>
    </row>
    <row r="159" spans="1:2" x14ac:dyDescent="0.4">
      <c r="A159">
        <f>24.2+25</f>
        <v>49.2</v>
      </c>
      <c r="B159">
        <v>10.119999999999999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histidin_curve_v1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Peko Tim - s2420458029</cp:lastModifiedBy>
  <dcterms:created xsi:type="dcterms:W3CDTF">2025-12-18T09:37:32Z</dcterms:created>
  <dcterms:modified xsi:type="dcterms:W3CDTF">2025-12-18T10:48:55Z</dcterms:modified>
</cp:coreProperties>
</file>