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fhooe-my.sharepoint.com/personal/s2420458029_fhooe_at/Documents/PHS/2025-05-24_S2_Blood/"/>
    </mc:Choice>
  </mc:AlternateContent>
  <xr:revisionPtr revIDLastSave="64" documentId="8_{AEA58EE9-C8B9-4CC0-95FE-0E5C9781772D}" xr6:coauthVersionLast="47" xr6:coauthVersionMax="47" xr10:uidLastSave="{B56BC4EB-D6B6-4E92-A88A-71AA55CD1569}"/>
  <bookViews>
    <workbookView xWindow="-22046" yWindow="-771" windowWidth="22149" windowHeight="13920" activeTab="1" xr2:uid="{2B8ACDA1-78BA-4034-BC90-ACDDCE0BE8C5}"/>
  </bookViews>
  <sheets>
    <sheet name="Hb" sheetId="1" r:id="rId1"/>
    <sheet name="Analysis" sheetId="2" r:id="rId2"/>
  </sheets>
  <definedNames>
    <definedName name="_xlnm._FilterDatabase" localSheetId="0" hidden="1">Hb!$A$2:$H$25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 s="1"/>
  <c r="G2" i="2" a="1"/>
  <c r="G2" i="2" s="1"/>
  <c r="B22" i="2"/>
  <c r="B23" i="2" l="1"/>
  <c r="J2" i="1" l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<sst xmlns="http://schemas.openxmlformats.org/spreadsheetml/2006/main" count="107" uniqueCount="38">
  <si>
    <t>MBI24</t>
  </si>
  <si>
    <t>m</t>
  </si>
  <si>
    <t>n</t>
  </si>
  <si>
    <t>j</t>
  </si>
  <si>
    <t>w</t>
  </si>
  <si>
    <t>jn</t>
  </si>
  <si>
    <t>Datum</t>
  </si>
  <si>
    <t>Stdgang</t>
  </si>
  <si>
    <t>Person</t>
  </si>
  <si>
    <t>Geschlecht</t>
  </si>
  <si>
    <t>Abs KCN</t>
  </si>
  <si>
    <t>Hb KCN</t>
  </si>
  <si>
    <t>Hb Reflotron</t>
  </si>
  <si>
    <t>Sportler</t>
  </si>
  <si>
    <t>Männer</t>
  </si>
  <si>
    <t>Frauen</t>
  </si>
  <si>
    <t>Mittelwert</t>
  </si>
  <si>
    <t>Hb KCN Male</t>
  </si>
  <si>
    <t>Hb KCN Female</t>
  </si>
  <si>
    <t>Zeilenbeschriftungen</t>
  </si>
  <si>
    <t>Gesamtergebnis</t>
  </si>
  <si>
    <t>Mittelwert von Hb KCN</t>
  </si>
  <si>
    <t>Standardabweichung (Grundgesamtheit) von Hb KCN</t>
  </si>
  <si>
    <t>Zweistichproben t-Test unter der Annahme unterschiedlicher Varianzen</t>
  </si>
  <si>
    <t>Varianz</t>
  </si>
  <si>
    <t>Beobachtungen</t>
  </si>
  <si>
    <t>Hypothetische Differenz der Mittelwerte</t>
  </si>
  <si>
    <t>Freiheitsgrade (df)</t>
  </si>
  <si>
    <t>t-Statistik</t>
  </si>
  <si>
    <t>P(T&lt;=t) einseitig</t>
  </si>
  <si>
    <t>Kritischer t-Wert bei einseitigem t-Test</t>
  </si>
  <si>
    <t>P(T&lt;=t) zweiseitig</t>
  </si>
  <si>
    <t>Kritischer t-Wert bei zweiseitigem t-Test</t>
  </si>
  <si>
    <t>Var von Hb KCN</t>
  </si>
  <si>
    <t>gepolte Standardabweichung</t>
  </si>
  <si>
    <t>Effekstärke d</t>
  </si>
  <si>
    <t>Max. von Hb KCN</t>
  </si>
  <si>
    <t>Min. von Hb KCN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</si>
</sst>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14" fontId="1" fillId="0" borderId="3" xfId="0" applyNumberFormat="1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14" fontId="1" fillId="0" borderId="6" xfId="0" applyNumberFormat="1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9" xfId="0" applyFill="1" applyBorder="1" applyAlignment="1"/>
    <xf numFmtId="0" fontId="3" fillId="0" borderId="10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er ErTim" refreshedDate="45804.17697453704" createdVersion="8" refreshedVersion="8" minRefreshableVersion="3" recordCount="24" xr:uid="{EDE95888-0481-4E35-8892-4AA05504DB6E}">
  <cacheSource type="worksheet">
    <worksheetSource ref="A1:H25" sheet="Hb"/>
  </cacheSource>
  <cacheFields count="8">
    <cacheField name="Datum" numFmtId="14">
      <sharedItems containsSemiMixedTypes="0" containsNonDate="0" containsDate="1" containsString="0" minDate="2025-05-15T00:00:00" maxDate="2025-05-17T00:00:00"/>
    </cacheField>
    <cacheField name="Stdgang" numFmtId="0">
      <sharedItems/>
    </cacheField>
    <cacheField name="Person" numFmtId="0">
      <sharedItems containsSemiMixedTypes="0" containsString="0" containsNumber="1" containsInteger="1" minValue="1" maxValue="16"/>
    </cacheField>
    <cacheField name="Geschlecht" numFmtId="0">
      <sharedItems count="2">
        <s v="m"/>
        <s v="w"/>
      </sharedItems>
    </cacheField>
    <cacheField name="Abs KCN" numFmtId="0">
      <sharedItems containsNonDate="0" containsString="0" containsBlank="1"/>
    </cacheField>
    <cacheField name="Hb KCN" numFmtId="0">
      <sharedItems containsString="0" containsBlank="1" containsNumber="1" minValue="0.37" maxValue="23.029800000000002"/>
    </cacheField>
    <cacheField name="Hb Reflotron" numFmtId="0">
      <sharedItems containsNonDate="0" containsString="0" containsBlank="1"/>
    </cacheField>
    <cacheField name="Sportl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5-05-15T00:00:00"/>
    <s v="MBI24"/>
    <n v="1"/>
    <x v="0"/>
    <m/>
    <n v="10.87"/>
    <m/>
    <s v="n"/>
  </r>
  <r>
    <d v="2025-05-15T00:00:00"/>
    <s v="MBI24"/>
    <n v="2"/>
    <x v="0"/>
    <m/>
    <n v="18.440000000000001"/>
    <m/>
    <s v="n"/>
  </r>
  <r>
    <d v="2025-05-15T00:00:00"/>
    <s v="MBI24"/>
    <n v="3"/>
    <x v="0"/>
    <m/>
    <m/>
    <m/>
    <s v="n"/>
  </r>
  <r>
    <d v="2025-05-15T00:00:00"/>
    <s v="MBI24"/>
    <n v="4"/>
    <x v="0"/>
    <m/>
    <n v="19.12"/>
    <m/>
    <s v="j"/>
  </r>
  <r>
    <d v="2025-05-15T00:00:00"/>
    <s v="MBI24"/>
    <n v="5"/>
    <x v="1"/>
    <m/>
    <n v="17.329999999999998"/>
    <m/>
    <s v="j"/>
  </r>
  <r>
    <d v="2025-05-15T00:00:00"/>
    <s v="MBI24"/>
    <n v="6"/>
    <x v="1"/>
    <m/>
    <n v="0.37"/>
    <m/>
    <s v="j"/>
  </r>
  <r>
    <d v="2025-05-15T00:00:00"/>
    <s v="MBI24"/>
    <n v="7"/>
    <x v="1"/>
    <m/>
    <n v="11.82"/>
    <m/>
    <s v="n"/>
  </r>
  <r>
    <d v="2025-05-15T00:00:00"/>
    <s v="MBI24"/>
    <n v="8"/>
    <x v="1"/>
    <m/>
    <n v="10.89"/>
    <m/>
    <s v="n"/>
  </r>
  <r>
    <d v="2025-05-15T00:00:00"/>
    <s v="MBI24"/>
    <n v="9"/>
    <x v="1"/>
    <m/>
    <n v="10.1"/>
    <m/>
    <s v="n"/>
  </r>
  <r>
    <d v="2025-05-15T00:00:00"/>
    <s v="MBI24"/>
    <n v="10"/>
    <x v="0"/>
    <m/>
    <n v="17.46"/>
    <m/>
    <s v="n"/>
  </r>
  <r>
    <d v="2025-05-15T00:00:00"/>
    <s v="MBI24"/>
    <n v="11"/>
    <x v="1"/>
    <m/>
    <n v="11.486499999999999"/>
    <m/>
    <s v="n"/>
  </r>
  <r>
    <d v="2025-05-15T00:00:00"/>
    <s v="MBI24"/>
    <n v="12"/>
    <x v="0"/>
    <m/>
    <n v="15.2"/>
    <m/>
    <s v="n"/>
  </r>
  <r>
    <d v="2025-05-15T00:00:00"/>
    <s v="MBI24"/>
    <n v="13"/>
    <x v="1"/>
    <m/>
    <n v="11.18"/>
    <m/>
    <s v="n"/>
  </r>
  <r>
    <d v="2025-05-15T00:00:00"/>
    <s v="MBI24"/>
    <n v="14"/>
    <x v="1"/>
    <m/>
    <n v="11.456300000000001"/>
    <m/>
    <s v="n"/>
  </r>
  <r>
    <d v="2025-05-15T00:00:00"/>
    <s v="MBI24"/>
    <n v="15"/>
    <x v="1"/>
    <m/>
    <n v="16.818200000000001"/>
    <m/>
    <s v="n"/>
  </r>
  <r>
    <d v="2025-05-15T00:00:00"/>
    <s v="MBI24"/>
    <n v="16"/>
    <x v="1"/>
    <m/>
    <m/>
    <m/>
    <m/>
  </r>
  <r>
    <d v="2025-05-16T00:00:00"/>
    <s v="MBI24"/>
    <n v="1"/>
    <x v="0"/>
    <m/>
    <n v="13.17"/>
    <m/>
    <s v="jn"/>
  </r>
  <r>
    <d v="2025-05-16T00:00:00"/>
    <s v="MBI24"/>
    <n v="2"/>
    <x v="0"/>
    <m/>
    <n v="20.099799999999998"/>
    <m/>
    <s v="j"/>
  </r>
  <r>
    <d v="2025-05-16T00:00:00"/>
    <s v="MBI24"/>
    <n v="3"/>
    <x v="0"/>
    <m/>
    <n v="23.029800000000002"/>
    <m/>
    <s v="j"/>
  </r>
  <r>
    <d v="2025-05-16T00:00:00"/>
    <s v="MBI24"/>
    <n v="4"/>
    <x v="0"/>
    <m/>
    <n v="15.84"/>
    <m/>
    <s v="j"/>
  </r>
  <r>
    <d v="2025-05-16T00:00:00"/>
    <s v="MBI24"/>
    <n v="5"/>
    <x v="0"/>
    <m/>
    <n v="13.360799999999999"/>
    <m/>
    <s v="jn"/>
  </r>
  <r>
    <d v="2025-05-16T00:00:00"/>
    <s v="MBI24"/>
    <n v="6"/>
    <x v="1"/>
    <m/>
    <n v="14.54"/>
    <m/>
    <s v="jn"/>
  </r>
  <r>
    <d v="2025-05-16T00:00:00"/>
    <s v="MBI24"/>
    <n v="7"/>
    <x v="1"/>
    <m/>
    <n v="13.01"/>
    <m/>
    <s v="n"/>
  </r>
  <r>
    <d v="2025-05-16T00:00:00"/>
    <s v="MBI24"/>
    <n v="8"/>
    <x v="1"/>
    <m/>
    <n v="16.27"/>
    <m/>
    <s v="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04040-C6D4-499B-B505-4F54F4010960}" name="PivotTable1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4:F7" firstHeaderRow="0" firstDataRow="1" firstDataCol="1"/>
  <pivotFields count="8">
    <pivotField numFmtId="14" showAll="0"/>
    <pivotField showAll="0"/>
    <pivotField showAll="0"/>
    <pivotField axis="axisRow" showAll="0" sortType="descending">
      <items count="3">
        <item x="1"/>
        <item x="0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ittelwert von Hb KCN" fld="5" subtotal="average" baseField="3" baseItem="0"/>
    <dataField name="Standardabweichung (Grundgesamtheit) von Hb KCN" fld="5" subtotal="stdDevp" baseField="3" baseItem="0"/>
    <dataField name="Var von Hb KCN" fld="5" subtotal="var" baseField="3" baseItem="0"/>
    <dataField name="Min. von Hb KCN" fld="5" subtotal="min" baseField="3" baseItem="0"/>
    <dataField name="Max. von Hb KCN" fld="5" subtotal="max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2865-C134-47A2-9C8F-64819E3D8C35}">
  <dimension ref="A1:K25"/>
  <sheetViews>
    <sheetView workbookViewId="0">
      <pane ySplit="1" topLeftCell="A2" activePane="bottomLeft" state="frozen"/>
      <selection pane="bottomLeft" activeCell="F7" sqref="F7"/>
    </sheetView>
  </sheetViews>
  <sheetFormatPr baseColWidth="10" defaultRowHeight="15" x14ac:dyDescent="0.25"/>
  <cols>
    <col min="5" max="5" width="14.7109375" customWidth="1"/>
    <col min="7" max="7" width="14.28515625" customWidth="1"/>
    <col min="10" max="10" width="19.42578125" customWidth="1"/>
    <col min="11" max="11" width="18.85546875" customWidth="1"/>
  </cols>
  <sheetData>
    <row r="1" spans="1:11" ht="17.25" customHeight="1" thickBot="1" x14ac:dyDescent="0.3">
      <c r="A1" s="13" t="s">
        <v>6</v>
      </c>
      <c r="B1" s="13" t="s">
        <v>7</v>
      </c>
      <c r="C1" s="13" t="s">
        <v>8</v>
      </c>
      <c r="D1" s="14" t="s">
        <v>9</v>
      </c>
      <c r="E1" s="13" t="s">
        <v>10</v>
      </c>
      <c r="F1" s="13" t="s">
        <v>11</v>
      </c>
      <c r="G1" s="13" t="s">
        <v>12</v>
      </c>
      <c r="H1" s="13" t="s">
        <v>13</v>
      </c>
      <c r="J1" s="15" t="s">
        <v>17</v>
      </c>
      <c r="K1" s="15" t="s">
        <v>18</v>
      </c>
    </row>
    <row r="2" spans="1:11" ht="15.75" thickBot="1" x14ac:dyDescent="0.3">
      <c r="A2" s="9">
        <v>45792</v>
      </c>
      <c r="B2" s="10" t="s">
        <v>0</v>
      </c>
      <c r="C2" s="11">
        <v>1</v>
      </c>
      <c r="D2" s="12" t="s">
        <v>1</v>
      </c>
      <c r="E2" s="10"/>
      <c r="F2" s="11">
        <v>10.87</v>
      </c>
      <c r="G2" s="10"/>
      <c r="H2" s="10" t="s">
        <v>2</v>
      </c>
      <c r="J2" t="e" cm="1">
        <f t="array" aca="1" ref="J2" ca="1">_xludf.AND()</f>
        <v>#NAME?</v>
      </c>
    </row>
    <row r="3" spans="1:11" ht="15.75" thickBot="1" x14ac:dyDescent="0.3">
      <c r="A3" s="1">
        <v>45792</v>
      </c>
      <c r="B3" s="2" t="s">
        <v>0</v>
      </c>
      <c r="C3" s="3">
        <v>2</v>
      </c>
      <c r="D3" s="4" t="s">
        <v>1</v>
      </c>
      <c r="E3" s="2"/>
      <c r="F3" s="3">
        <v>18.440000000000001</v>
      </c>
      <c r="G3" s="2"/>
      <c r="H3" s="2" t="s">
        <v>2</v>
      </c>
    </row>
    <row r="4" spans="1:11" ht="15.75" thickBot="1" x14ac:dyDescent="0.3">
      <c r="A4" s="1">
        <v>45792</v>
      </c>
      <c r="B4" s="2" t="s">
        <v>0</v>
      </c>
      <c r="C4" s="3">
        <v>3</v>
      </c>
      <c r="D4" s="4" t="s">
        <v>1</v>
      </c>
      <c r="E4" s="2"/>
      <c r="F4" s="2"/>
      <c r="G4" s="2"/>
      <c r="H4" s="2" t="s">
        <v>2</v>
      </c>
    </row>
    <row r="5" spans="1:11" ht="15.75" thickBot="1" x14ac:dyDescent="0.3">
      <c r="A5" s="1">
        <v>45792</v>
      </c>
      <c r="B5" s="2" t="s">
        <v>0</v>
      </c>
      <c r="C5" s="3">
        <v>4</v>
      </c>
      <c r="D5" s="4" t="s">
        <v>1</v>
      </c>
      <c r="E5" s="2"/>
      <c r="F5" s="3">
        <v>19.12</v>
      </c>
      <c r="G5" s="2"/>
      <c r="H5" s="2" t="s">
        <v>3</v>
      </c>
    </row>
    <row r="6" spans="1:11" ht="15.75" thickBot="1" x14ac:dyDescent="0.3">
      <c r="A6" s="1">
        <v>45792</v>
      </c>
      <c r="B6" s="2" t="s">
        <v>0</v>
      </c>
      <c r="C6" s="3">
        <v>5</v>
      </c>
      <c r="D6" s="4" t="s">
        <v>4</v>
      </c>
      <c r="E6" s="2"/>
      <c r="F6" s="3">
        <v>17.329999999999998</v>
      </c>
      <c r="G6" s="2"/>
      <c r="H6" s="2" t="s">
        <v>3</v>
      </c>
    </row>
    <row r="7" spans="1:11" ht="15.75" thickBot="1" x14ac:dyDescent="0.3">
      <c r="A7" s="1">
        <v>45792</v>
      </c>
      <c r="B7" s="2" t="s">
        <v>0</v>
      </c>
      <c r="C7" s="3">
        <v>6</v>
      </c>
      <c r="D7" s="4" t="s">
        <v>4</v>
      </c>
      <c r="E7" s="2"/>
      <c r="F7" s="3">
        <v>0.37</v>
      </c>
      <c r="G7" s="2"/>
      <c r="H7" s="2" t="s">
        <v>3</v>
      </c>
    </row>
    <row r="8" spans="1:11" ht="15.75" thickBot="1" x14ac:dyDescent="0.3">
      <c r="A8" s="1">
        <v>45792</v>
      </c>
      <c r="B8" s="2" t="s">
        <v>0</v>
      </c>
      <c r="C8" s="3">
        <v>7</v>
      </c>
      <c r="D8" s="4" t="s">
        <v>4</v>
      </c>
      <c r="E8" s="2"/>
      <c r="F8" s="3">
        <v>11.82</v>
      </c>
      <c r="G8" s="2"/>
      <c r="H8" s="2" t="s">
        <v>2</v>
      </c>
    </row>
    <row r="9" spans="1:11" ht="15.75" thickBot="1" x14ac:dyDescent="0.3">
      <c r="A9" s="1">
        <v>45792</v>
      </c>
      <c r="B9" s="2" t="s">
        <v>0</v>
      </c>
      <c r="C9" s="3">
        <v>8</v>
      </c>
      <c r="D9" s="4" t="s">
        <v>4</v>
      </c>
      <c r="E9" s="2"/>
      <c r="F9" s="3">
        <v>10.89</v>
      </c>
      <c r="G9" s="2"/>
      <c r="H9" s="2" t="s">
        <v>2</v>
      </c>
    </row>
    <row r="10" spans="1:11" ht="15.75" thickBot="1" x14ac:dyDescent="0.3">
      <c r="A10" s="1">
        <v>45792</v>
      </c>
      <c r="B10" s="2" t="s">
        <v>0</v>
      </c>
      <c r="C10" s="3">
        <v>9</v>
      </c>
      <c r="D10" s="4" t="s">
        <v>4</v>
      </c>
      <c r="E10" s="2"/>
      <c r="F10" s="3">
        <v>10.1</v>
      </c>
      <c r="G10" s="2"/>
      <c r="H10" s="2" t="s">
        <v>2</v>
      </c>
    </row>
    <row r="11" spans="1:11" ht="15.75" thickBot="1" x14ac:dyDescent="0.3">
      <c r="A11" s="1">
        <v>45792</v>
      </c>
      <c r="B11" s="2" t="s">
        <v>0</v>
      </c>
      <c r="C11" s="3">
        <v>10</v>
      </c>
      <c r="D11" s="4" t="s">
        <v>1</v>
      </c>
      <c r="E11" s="2"/>
      <c r="F11" s="3">
        <v>17.46</v>
      </c>
      <c r="G11" s="2"/>
      <c r="H11" s="2" t="s">
        <v>2</v>
      </c>
    </row>
    <row r="12" spans="1:11" ht="15.75" thickBot="1" x14ac:dyDescent="0.3">
      <c r="A12" s="1">
        <v>45792</v>
      </c>
      <c r="B12" s="2" t="s">
        <v>0</v>
      </c>
      <c r="C12" s="3">
        <v>11</v>
      </c>
      <c r="D12" s="4" t="s">
        <v>4</v>
      </c>
      <c r="E12" s="2"/>
      <c r="F12" s="3">
        <v>11.486499999999999</v>
      </c>
      <c r="G12" s="2"/>
      <c r="H12" s="2" t="s">
        <v>2</v>
      </c>
    </row>
    <row r="13" spans="1:11" ht="15.75" thickBot="1" x14ac:dyDescent="0.3">
      <c r="A13" s="1">
        <v>45792</v>
      </c>
      <c r="B13" s="2" t="s">
        <v>0</v>
      </c>
      <c r="C13" s="3">
        <v>12</v>
      </c>
      <c r="D13" s="4" t="s">
        <v>1</v>
      </c>
      <c r="E13" s="2"/>
      <c r="F13" s="3">
        <v>15.2</v>
      </c>
      <c r="G13" s="2"/>
      <c r="H13" s="2" t="s">
        <v>2</v>
      </c>
    </row>
    <row r="14" spans="1:11" ht="15.75" thickBot="1" x14ac:dyDescent="0.3">
      <c r="A14" s="1">
        <v>45792</v>
      </c>
      <c r="B14" s="2" t="s">
        <v>0</v>
      </c>
      <c r="C14" s="3">
        <v>13</v>
      </c>
      <c r="D14" s="4" t="s">
        <v>4</v>
      </c>
      <c r="E14" s="2"/>
      <c r="F14" s="3">
        <v>11.18</v>
      </c>
      <c r="G14" s="2"/>
      <c r="H14" s="2" t="s">
        <v>2</v>
      </c>
    </row>
    <row r="15" spans="1:11" ht="15.75" thickBot="1" x14ac:dyDescent="0.3">
      <c r="A15" s="1">
        <v>45792</v>
      </c>
      <c r="B15" s="2" t="s">
        <v>0</v>
      </c>
      <c r="C15" s="3">
        <v>14</v>
      </c>
      <c r="D15" s="4" t="s">
        <v>4</v>
      </c>
      <c r="E15" s="2"/>
      <c r="F15" s="3">
        <v>11.456300000000001</v>
      </c>
      <c r="G15" s="2"/>
      <c r="H15" s="2" t="s">
        <v>2</v>
      </c>
    </row>
    <row r="16" spans="1:11" ht="15.75" thickBot="1" x14ac:dyDescent="0.3">
      <c r="A16" s="1">
        <v>45792</v>
      </c>
      <c r="B16" s="2" t="s">
        <v>0</v>
      </c>
      <c r="C16" s="3">
        <v>15</v>
      </c>
      <c r="D16" s="4" t="s">
        <v>4</v>
      </c>
      <c r="E16" s="2"/>
      <c r="F16" s="3">
        <v>16.818200000000001</v>
      </c>
      <c r="G16" s="2"/>
      <c r="H16" s="2" t="s">
        <v>2</v>
      </c>
    </row>
    <row r="17" spans="1:8" ht="15.75" thickBot="1" x14ac:dyDescent="0.3">
      <c r="A17" s="5">
        <v>45792</v>
      </c>
      <c r="B17" s="6" t="s">
        <v>0</v>
      </c>
      <c r="C17" s="7">
        <v>16</v>
      </c>
      <c r="D17" s="8" t="s">
        <v>4</v>
      </c>
      <c r="E17" s="6"/>
      <c r="F17" s="6"/>
      <c r="G17" s="6"/>
      <c r="H17" s="6"/>
    </row>
    <row r="18" spans="1:8" ht="15.75" thickBot="1" x14ac:dyDescent="0.3">
      <c r="A18" s="1">
        <v>45793</v>
      </c>
      <c r="B18" s="2" t="s">
        <v>0</v>
      </c>
      <c r="C18" s="3">
        <v>1</v>
      </c>
      <c r="D18" s="4" t="s">
        <v>1</v>
      </c>
      <c r="E18" s="2"/>
      <c r="F18" s="3">
        <v>13.17</v>
      </c>
      <c r="G18" s="2"/>
      <c r="H18" s="2" t="s">
        <v>5</v>
      </c>
    </row>
    <row r="19" spans="1:8" ht="15.75" thickBot="1" x14ac:dyDescent="0.3">
      <c r="A19" s="1">
        <v>45793</v>
      </c>
      <c r="B19" s="2" t="s">
        <v>0</v>
      </c>
      <c r="C19" s="3">
        <v>2</v>
      </c>
      <c r="D19" s="4" t="s">
        <v>1</v>
      </c>
      <c r="E19" s="2"/>
      <c r="F19" s="3">
        <v>20.099799999999998</v>
      </c>
      <c r="G19" s="2"/>
      <c r="H19" s="2" t="s">
        <v>3</v>
      </c>
    </row>
    <row r="20" spans="1:8" ht="15.75" thickBot="1" x14ac:dyDescent="0.3">
      <c r="A20" s="1">
        <v>45793</v>
      </c>
      <c r="B20" s="2" t="s">
        <v>0</v>
      </c>
      <c r="C20" s="3">
        <v>3</v>
      </c>
      <c r="D20" s="4" t="s">
        <v>1</v>
      </c>
      <c r="E20" s="2"/>
      <c r="F20" s="3">
        <v>23.029800000000002</v>
      </c>
      <c r="G20" s="2"/>
      <c r="H20" s="2" t="s">
        <v>3</v>
      </c>
    </row>
    <row r="21" spans="1:8" ht="15.75" thickBot="1" x14ac:dyDescent="0.3">
      <c r="A21" s="1">
        <v>45793</v>
      </c>
      <c r="B21" s="2" t="s">
        <v>0</v>
      </c>
      <c r="C21" s="3">
        <v>4</v>
      </c>
      <c r="D21" s="4" t="s">
        <v>1</v>
      </c>
      <c r="E21" s="2"/>
      <c r="F21" s="3">
        <v>15.84</v>
      </c>
      <c r="G21" s="2"/>
      <c r="H21" s="2" t="s">
        <v>3</v>
      </c>
    </row>
    <row r="22" spans="1:8" ht="15.75" thickBot="1" x14ac:dyDescent="0.3">
      <c r="A22" s="1">
        <v>45793</v>
      </c>
      <c r="B22" s="2" t="s">
        <v>0</v>
      </c>
      <c r="C22" s="3">
        <v>5</v>
      </c>
      <c r="D22" s="4" t="s">
        <v>1</v>
      </c>
      <c r="E22" s="2"/>
      <c r="F22" s="3">
        <v>13.360799999999999</v>
      </c>
      <c r="G22" s="2"/>
      <c r="H22" s="2" t="s">
        <v>5</v>
      </c>
    </row>
    <row r="23" spans="1:8" ht="15.75" thickBot="1" x14ac:dyDescent="0.3">
      <c r="A23" s="1">
        <v>45793</v>
      </c>
      <c r="B23" s="2" t="s">
        <v>0</v>
      </c>
      <c r="C23" s="3">
        <v>6</v>
      </c>
      <c r="D23" s="4" t="s">
        <v>4</v>
      </c>
      <c r="E23" s="2"/>
      <c r="F23" s="3">
        <v>14.54</v>
      </c>
      <c r="G23" s="2"/>
      <c r="H23" s="2" t="s">
        <v>5</v>
      </c>
    </row>
    <row r="24" spans="1:8" ht="15.75" thickBot="1" x14ac:dyDescent="0.3">
      <c r="A24" s="1">
        <v>45793</v>
      </c>
      <c r="B24" s="2" t="s">
        <v>0</v>
      </c>
      <c r="C24" s="3">
        <v>7</v>
      </c>
      <c r="D24" s="4" t="s">
        <v>4</v>
      </c>
      <c r="E24" s="2"/>
      <c r="F24" s="3">
        <v>13.01</v>
      </c>
      <c r="G24" s="2"/>
      <c r="H24" s="2" t="s">
        <v>2</v>
      </c>
    </row>
    <row r="25" spans="1:8" ht="15.75" thickBot="1" x14ac:dyDescent="0.3">
      <c r="A25" s="1">
        <v>45793</v>
      </c>
      <c r="B25" s="2" t="s">
        <v>0</v>
      </c>
      <c r="C25" s="3">
        <v>8</v>
      </c>
      <c r="D25" s="4" t="s">
        <v>4</v>
      </c>
      <c r="E25" s="2"/>
      <c r="F25" s="3">
        <v>16.27</v>
      </c>
      <c r="G25" s="2"/>
      <c r="H25" s="2" t="s">
        <v>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A95E-38E5-4546-B5F5-85635D96D1B0}">
  <dimension ref="A1:H23"/>
  <sheetViews>
    <sheetView tabSelected="1" zoomScaleNormal="100" workbookViewId="0">
      <selection activeCell="B19" sqref="B19"/>
    </sheetView>
  </sheetViews>
  <sheetFormatPr baseColWidth="10" defaultRowHeight="15" x14ac:dyDescent="0.25"/>
  <cols>
    <col min="1" max="1" width="36.28515625" customWidth="1"/>
    <col min="2" max="2" width="21.7109375" bestFit="1" customWidth="1"/>
    <col min="3" max="3" width="49.42578125" bestFit="1" customWidth="1"/>
    <col min="4" max="4" width="15" bestFit="1" customWidth="1"/>
    <col min="5" max="5" width="16.140625" bestFit="1" customWidth="1"/>
    <col min="6" max="6" width="16.42578125" bestFit="1" customWidth="1"/>
  </cols>
  <sheetData>
    <row r="1" spans="1:8" x14ac:dyDescent="0.25">
      <c r="G1" t="s">
        <v>15</v>
      </c>
      <c r="H1" t="s">
        <v>14</v>
      </c>
    </row>
    <row r="2" spans="1:8" x14ac:dyDescent="0.25">
      <c r="G2" cm="1">
        <f t="array" ref="G2:G13">_xlfn.LET(
_xlpm.a, IF(Hb!D2:D25="w",IF(Hb!F2:F25&lt;&gt;"",Hb!F2:F25,""),""),
_xlpm.b, _xlfn._xlws.FILTER(_xlpm.a, _xlpm.a&lt;&gt;"", ""),
_xlpm.b
)</f>
        <v>17.329999999999998</v>
      </c>
      <c r="H2" cm="1">
        <f t="array" ref="H2:H11">_xlfn.LET(
_xlpm.a, IF(Hb!D2:D25="m",IF(Hb!F2:F25&lt;&gt;"",Hb!F2:F25,""),""),
_xlpm.b, _xlfn._xlws.FILTER(_xlpm.a, _xlpm.a&lt;&gt;"", ""),
_xlpm.b
)</f>
        <v>10.87</v>
      </c>
    </row>
    <row r="3" spans="1:8" x14ac:dyDescent="0.25">
      <c r="G3">
        <v>0.37</v>
      </c>
      <c r="H3">
        <v>18.440000000000001</v>
      </c>
    </row>
    <row r="4" spans="1:8" x14ac:dyDescent="0.25">
      <c r="A4" s="16" t="s">
        <v>19</v>
      </c>
      <c r="B4" t="s">
        <v>21</v>
      </c>
      <c r="C4" t="s">
        <v>22</v>
      </c>
      <c r="D4" t="s">
        <v>33</v>
      </c>
      <c r="E4" t="s">
        <v>37</v>
      </c>
      <c r="F4" t="s">
        <v>36</v>
      </c>
      <c r="G4">
        <v>11.82</v>
      </c>
      <c r="H4">
        <v>19.12</v>
      </c>
    </row>
    <row r="5" spans="1:8" x14ac:dyDescent="0.25">
      <c r="A5" s="17" t="s">
        <v>4</v>
      </c>
      <c r="B5" s="18">
        <v>12.105916666666667</v>
      </c>
      <c r="C5" s="18">
        <v>4.2676791418820983</v>
      </c>
      <c r="D5" s="18">
        <v>19.868820281515106</v>
      </c>
      <c r="E5" s="18">
        <v>0.37</v>
      </c>
      <c r="F5" s="18">
        <v>17.329999999999998</v>
      </c>
      <c r="G5">
        <v>10.89</v>
      </c>
      <c r="H5">
        <v>17.46</v>
      </c>
    </row>
    <row r="6" spans="1:8" x14ac:dyDescent="0.25">
      <c r="A6" s="17" t="s">
        <v>1</v>
      </c>
      <c r="B6" s="18">
        <v>16.659040000000005</v>
      </c>
      <c r="C6" s="18">
        <v>3.4879720111262182</v>
      </c>
      <c r="D6" s="18">
        <v>13.517720833777629</v>
      </c>
      <c r="E6" s="18">
        <v>10.87</v>
      </c>
      <c r="F6" s="18">
        <v>23.029800000000002</v>
      </c>
      <c r="G6">
        <v>10.1</v>
      </c>
      <c r="H6">
        <v>15.2</v>
      </c>
    </row>
    <row r="7" spans="1:8" x14ac:dyDescent="0.25">
      <c r="A7" s="17" t="s">
        <v>20</v>
      </c>
      <c r="B7" s="18">
        <v>14.175518181818182</v>
      </c>
      <c r="C7" s="18">
        <v>4.5391945720915956</v>
      </c>
      <c r="D7" s="18">
        <v>21.585443904415591</v>
      </c>
      <c r="E7" s="18">
        <v>0.37</v>
      </c>
      <c r="F7" s="18">
        <v>23.029800000000002</v>
      </c>
      <c r="G7">
        <v>11.486499999999999</v>
      </c>
      <c r="H7">
        <v>13.17</v>
      </c>
    </row>
    <row r="8" spans="1:8" x14ac:dyDescent="0.25">
      <c r="G8">
        <v>11.18</v>
      </c>
      <c r="H8">
        <v>20.099799999999998</v>
      </c>
    </row>
    <row r="9" spans="1:8" x14ac:dyDescent="0.25">
      <c r="A9" t="s">
        <v>23</v>
      </c>
      <c r="G9">
        <v>11.456300000000001</v>
      </c>
      <c r="H9">
        <v>23.029800000000002</v>
      </c>
    </row>
    <row r="10" spans="1:8" ht="15.75" thickBot="1" x14ac:dyDescent="0.3">
      <c r="G10">
        <v>16.818200000000001</v>
      </c>
      <c r="H10">
        <v>15.84</v>
      </c>
    </row>
    <row r="11" spans="1:8" x14ac:dyDescent="0.25">
      <c r="A11" s="21"/>
      <c r="B11" s="21" t="s">
        <v>15</v>
      </c>
      <c r="C11" s="21" t="s">
        <v>14</v>
      </c>
      <c r="G11">
        <v>14.54</v>
      </c>
      <c r="H11">
        <v>13.360799999999999</v>
      </c>
    </row>
    <row r="12" spans="1:8" x14ac:dyDescent="0.25">
      <c r="A12" s="19" t="s">
        <v>16</v>
      </c>
      <c r="B12" s="19">
        <v>12.105916666666667</v>
      </c>
      <c r="C12" s="19">
        <v>16.659040000000005</v>
      </c>
      <c r="G12">
        <v>13.01</v>
      </c>
    </row>
    <row r="13" spans="1:8" x14ac:dyDescent="0.25">
      <c r="A13" s="19" t="s">
        <v>24</v>
      </c>
      <c r="B13" s="19">
        <v>19.868820281515106</v>
      </c>
      <c r="C13" s="19">
        <v>13.517720833777629</v>
      </c>
      <c r="G13">
        <v>16.27</v>
      </c>
    </row>
    <row r="14" spans="1:8" x14ac:dyDescent="0.25">
      <c r="A14" s="19" t="s">
        <v>25</v>
      </c>
      <c r="B14" s="19">
        <v>12</v>
      </c>
      <c r="C14" s="19">
        <v>10</v>
      </c>
    </row>
    <row r="15" spans="1:8" x14ac:dyDescent="0.25">
      <c r="A15" s="19" t="s">
        <v>26</v>
      </c>
      <c r="B15" s="19">
        <v>0</v>
      </c>
      <c r="C15" s="19"/>
    </row>
    <row r="16" spans="1:8" x14ac:dyDescent="0.25">
      <c r="A16" s="19" t="s">
        <v>27</v>
      </c>
      <c r="B16" s="19">
        <v>20</v>
      </c>
      <c r="C16" s="19"/>
    </row>
    <row r="17" spans="1:3" x14ac:dyDescent="0.25">
      <c r="A17" s="19" t="s">
        <v>28</v>
      </c>
      <c r="B17" s="19">
        <v>-2.625464094709824</v>
      </c>
      <c r="C17" s="19"/>
    </row>
    <row r="18" spans="1:3" x14ac:dyDescent="0.25">
      <c r="A18" s="19" t="s">
        <v>29</v>
      </c>
      <c r="B18" s="19">
        <v>8.1038831343999401E-3</v>
      </c>
      <c r="C18" s="19"/>
    </row>
    <row r="19" spans="1:3" x14ac:dyDescent="0.25">
      <c r="A19" s="19" t="s">
        <v>30</v>
      </c>
      <c r="B19" s="19">
        <v>1.7247182429207868</v>
      </c>
      <c r="C19" s="19"/>
    </row>
    <row r="20" spans="1:3" x14ac:dyDescent="0.25">
      <c r="A20" s="19" t="s">
        <v>31</v>
      </c>
      <c r="B20" s="19">
        <v>1.6207766268799887E-2</v>
      </c>
      <c r="C20" s="19"/>
    </row>
    <row r="21" spans="1:3" ht="15.75" thickBot="1" x14ac:dyDescent="0.3">
      <c r="A21" s="20" t="s">
        <v>32</v>
      </c>
      <c r="B21" s="20">
        <v>2.0859634472658648</v>
      </c>
      <c r="C21" s="20"/>
    </row>
    <row r="22" spans="1:3" x14ac:dyDescent="0.25">
      <c r="A22" s="19" t="s">
        <v>34</v>
      </c>
      <c r="B22">
        <f>SQRT(
(B14-1)*GETPIVOTDATA("Standardabweichung (Grundgesamtheit) von Hb KCN",$A$4,"Geschlecht","w")^2 + (C14-1)*GETPIVOTDATA("Standardabweichung (Grundgesamtheit) von Hb KCN",$A$4,"Geschlecht","m")^2 /
(B14+C14-2)
)</f>
        <v>14.346379849156744</v>
      </c>
    </row>
    <row r="23" spans="1:3" x14ac:dyDescent="0.25">
      <c r="A23" s="19" t="s">
        <v>35</v>
      </c>
      <c r="B23">
        <f>ABS(B12-C12)/B22</f>
        <v>0.31737088946525854</v>
      </c>
    </row>
  </sheetData>
  <pageMargins left="0.7" right="0.7" top="0.78740157499999996" bottom="0.78740157499999996" header="0.3" footer="0.3"/>
  <pageSetup paperSize="9" orientation="portrait" horizontalDpi="360" verticalDpi="36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28E2ABB3BF6AA4786642CB48667A43C" ma:contentTypeVersion="5" ma:contentTypeDescription="Ein neues Dokument erstellen." ma:contentTypeScope="" ma:versionID="d0a65284cbc4fc2b325d67b8e25bd821">
  <xsd:schema xmlns:xsd="http://www.w3.org/2001/XMLSchema" xmlns:xs="http://www.w3.org/2001/XMLSchema" xmlns:p="http://schemas.microsoft.com/office/2006/metadata/properties" xmlns:ns3="388c4302-aa0b-4348-b1df-6e4778a51296" targetNamespace="http://schemas.microsoft.com/office/2006/metadata/properties" ma:root="true" ma:fieldsID="19ba5c1499d7e52c57887046d197225b" ns3:_="">
    <xsd:import namespace="388c4302-aa0b-4348-b1df-6e4778a5129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c4302-aa0b-4348-b1df-6e4778a5129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8c4302-aa0b-4348-b1df-6e4778a51296" xsi:nil="true"/>
  </documentManagement>
</p:properties>
</file>

<file path=customXml/itemProps1.xml><?xml version="1.0" encoding="utf-8"?>
<ds:datastoreItem xmlns:ds="http://schemas.openxmlformats.org/officeDocument/2006/customXml" ds:itemID="{71DA60B3-6F76-4EDC-94AA-AD384B12C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8c4302-aa0b-4348-b1df-6e4778a512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319BCA-40B9-4FA3-B3FE-41A8E6779C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BBCC24-6D4B-4EF9-B68A-A351A486A786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88c4302-aa0b-4348-b1df-6e4778a51296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Hb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Peko Tim - s2420458029</dc:creator>
  <cp:lastModifiedBy>Peko Tim - s2420458029</cp:lastModifiedBy>
  <cp:lastPrinted>2025-05-26T21:06:41Z</cp:lastPrinted>
  <dcterms:created xsi:type="dcterms:W3CDTF">2025-05-26T20:43:47Z</dcterms:created>
  <dcterms:modified xsi:type="dcterms:W3CDTF">2025-05-27T02:24:37Z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0x010100E28E2ABB3BF6AA4786642CB48667A43C</vt:lpwstr>
  </property>
</Properties>
</file>